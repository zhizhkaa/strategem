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15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worksheets/sheet1.xml" ContentType="application/vnd.openxmlformats-officedocument.spreadsheetml.workshee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drawings/drawing10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codeName="ЭтаКнига" defaultThemeVersion="124226"/>
  <bookViews>
    <workbookView xWindow="120" yWindow="108" windowWidth="15120" windowHeight="8016" tabRatio="684" activeTab="6"/>
  </bookViews>
  <sheets>
    <sheet name="Население" sheetId="1" r:id="rId1"/>
    <sheet name="Энергетика" sheetId="12" r:id="rId2"/>
    <sheet name="Промышленность" sheetId="13" r:id="rId3"/>
    <sheet name="Сельхоз и ОС" sheetId="14" r:id="rId4"/>
    <sheet name="Торговля и финансы" sheetId="15" r:id="rId5"/>
    <sheet name="Сводный лист решений" sheetId="2" r:id="rId6"/>
    <sheet name="Лист состояния страны" sheetId="16" r:id="rId7"/>
    <sheet name="График P-1" sheetId="3" r:id="rId8"/>
    <sheet name="График P-2" sheetId="11" r:id="rId9"/>
    <sheet name="График P-3" sheetId="9" r:id="rId10"/>
    <sheet name="График P-4" sheetId="10" r:id="rId11"/>
    <sheet name="График E-1" sheetId="18" r:id="rId12"/>
    <sheet name="График E-2" sheetId="17" r:id="rId13"/>
    <sheet name="График G-1" sheetId="21" r:id="rId14"/>
    <sheet name="График G-2" sheetId="20" r:id="rId15"/>
    <sheet name="График G-3" sheetId="19" r:id="rId16"/>
    <sheet name="График F-1" sheetId="22" r:id="rId17"/>
    <sheet name="График F-2" sheetId="23" r:id="rId18"/>
    <sheet name="График F-3" sheetId="24" r:id="rId19"/>
    <sheet name="График F-4" sheetId="25" r:id="rId20"/>
    <sheet name="График TF-1" sheetId="27" r:id="rId21"/>
    <sheet name="График TF-2" sheetId="26" r:id="rId22"/>
  </sheets>
  <calcPr calcId="125725"/>
</workbook>
</file>

<file path=xl/calcChain.xml><?xml version="1.0" encoding="utf-8"?>
<calcChain xmlns="http://schemas.openxmlformats.org/spreadsheetml/2006/main">
  <c r="D25" i="16"/>
  <c r="C25"/>
  <c r="D24"/>
  <c r="C24"/>
  <c r="D20"/>
  <c r="C20"/>
  <c r="D14"/>
  <c r="C14"/>
  <c r="D11"/>
  <c r="C11"/>
  <c r="D9" i="1"/>
  <c r="E34" i="13" s="1"/>
  <c r="C33" i="12"/>
  <c r="C28" i="1"/>
  <c r="C29" s="1"/>
  <c r="C22"/>
  <c r="C23" s="1"/>
  <c r="D11"/>
  <c r="D27" i="13"/>
  <c r="D26"/>
  <c r="D10" i="1"/>
  <c r="D17"/>
  <c r="D15" i="12"/>
  <c r="D25"/>
  <c r="D24"/>
  <c r="D23"/>
  <c r="D22"/>
  <c r="D21"/>
  <c r="D23" i="14"/>
  <c r="D18" i="15"/>
  <c r="D17"/>
  <c r="D16"/>
  <c r="D14"/>
  <c r="C74"/>
  <c r="D9"/>
  <c r="D22" i="14"/>
  <c r="C70"/>
  <c r="D20"/>
  <c r="D18"/>
  <c r="C68"/>
  <c r="D17"/>
  <c r="D14"/>
  <c r="D13"/>
  <c r="D12"/>
  <c r="D10"/>
  <c r="D11"/>
  <c r="D9" s="1"/>
  <c r="D24" i="13"/>
  <c r="D23"/>
  <c r="D21"/>
  <c r="D13"/>
  <c r="D14"/>
  <c r="D12" s="1"/>
  <c r="D10"/>
  <c r="D9"/>
  <c r="D11"/>
  <c r="D26" i="12"/>
  <c r="F26" i="18"/>
  <c r="D29" i="12"/>
  <c r="D28"/>
  <c r="D19"/>
  <c r="D13"/>
  <c r="D14"/>
  <c r="D12" s="1"/>
  <c r="D10"/>
  <c r="D9"/>
  <c r="D11"/>
  <c r="D16" i="1"/>
  <c r="D14"/>
  <c r="C38" i="15"/>
  <c r="C37"/>
  <c r="C41" i="12"/>
  <c r="C36"/>
  <c r="F25" i="26"/>
  <c r="F25" i="27"/>
  <c r="F26" i="25"/>
  <c r="F25" i="24"/>
  <c r="F25" i="23"/>
  <c r="F25" i="22"/>
  <c r="F25" i="19"/>
  <c r="F25" i="20"/>
  <c r="F25" i="21"/>
  <c r="F25" i="17"/>
  <c r="F27" i="18"/>
  <c r="F26" i="10"/>
  <c r="F26" i="9"/>
  <c r="F25" i="11"/>
  <c r="F25" i="3"/>
  <c r="C14" i="14"/>
  <c r="C14" i="12"/>
  <c r="C11"/>
  <c r="C14" i="13"/>
  <c r="C11"/>
  <c r="C11" i="14"/>
  <c r="C26" i="13"/>
  <c r="L23" i="18"/>
  <c r="M23"/>
  <c r="N23"/>
  <c r="F23"/>
  <c r="G23"/>
  <c r="H23"/>
  <c r="I23"/>
  <c r="J23"/>
  <c r="K23"/>
  <c r="E23"/>
  <c r="C25" i="12"/>
  <c r="D19" i="13" l="1"/>
  <c r="D17"/>
  <c r="D33" s="1"/>
</calcChain>
</file>

<file path=xl/sharedStrings.xml><?xml version="1.0" encoding="utf-8"?>
<sst xmlns="http://schemas.openxmlformats.org/spreadsheetml/2006/main" count="1098" uniqueCount="555">
  <si>
    <t>Текущая ситуация</t>
  </si>
  <si>
    <t>Информация к сведению</t>
  </si>
  <si>
    <t>Переменная</t>
  </si>
  <si>
    <t>Что описывает</t>
  </si>
  <si>
    <t>Периоды</t>
  </si>
  <si>
    <t>0-4</t>
  </si>
  <si>
    <t>5-9</t>
  </si>
  <si>
    <t>10-14</t>
  </si>
  <si>
    <t>15-19</t>
  </si>
  <si>
    <t>20-24</t>
  </si>
  <si>
    <t>Старт. значение</t>
  </si>
  <si>
    <t>25-29</t>
  </si>
  <si>
    <t>30-34</t>
  </si>
  <si>
    <t>35-39</t>
  </si>
  <si>
    <t>40-44</t>
  </si>
  <si>
    <t>45-49</t>
  </si>
  <si>
    <t>Целевое значение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</si>
  <si>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</si>
  <si>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</si>
  <si>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</si>
  <si>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</si>
  <si>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</si>
  <si>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</si>
  <si>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</si>
  <si>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</si>
  <si>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</si>
  <si>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</si>
  <si>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</si>
  <si>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</si>
  <si>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</si>
  <si>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Лист решений</t>
  </si>
  <si>
    <t>Распределить все продовольствие</t>
  </si>
  <si>
    <t>Распределить все товары</t>
  </si>
  <si>
    <t>Численность населения</t>
  </si>
  <si>
    <t>Формулы и соотношения</t>
  </si>
  <si>
    <t>Информация для разработчика</t>
  </si>
  <si>
    <t>Решение №1:</t>
  </si>
  <si>
    <t>Решение №2:</t>
  </si>
  <si>
    <t>Продовольствие на душу населения в год</t>
  </si>
  <si>
    <t>Как рассчитывается</t>
  </si>
  <si>
    <t>Комментарий</t>
  </si>
  <si>
    <t>P9 + P10 = P2</t>
  </si>
  <si>
    <t>Всего:</t>
  </si>
  <si>
    <t>P11 + P12 + P13 = P3</t>
  </si>
  <si>
    <t>п.п.</t>
  </si>
  <si>
    <t>Уровень смертности, чел./1000 чел. в год (п.п.)</t>
  </si>
  <si>
    <t>прошлый период</t>
  </si>
  <si>
    <t>т.п.</t>
  </si>
  <si>
    <t>текущий период</t>
  </si>
  <si>
    <t>Товары на душу населения в год (п.п.)</t>
  </si>
  <si>
    <t>Услуги на душу населения в год (п.п.)</t>
  </si>
  <si>
    <t>Уровень рождаемости, чел./1000 чел. в год (п.п.)</t>
  </si>
  <si>
    <t>Продовольствие для населения (т.п.)</t>
  </si>
  <si>
    <t>Всего продовольствия от импорта и пр-ва (п.п.)</t>
  </si>
  <si>
    <t>Всего товаров от импорта и пр-ва (п.п.)</t>
  </si>
  <si>
    <t>Продовольствие на экспорт (т.п.)</t>
  </si>
  <si>
    <t>Товары для населения (т.п.)</t>
  </si>
  <si>
    <t>Товары для капиталовложения (т.п.)</t>
  </si>
  <si>
    <t>Товары на экспорт (т.п.)</t>
  </si>
  <si>
    <t>X</t>
  </si>
  <si>
    <t>Ось</t>
  </si>
  <si>
    <t>Y</t>
  </si>
  <si>
    <t>Проверка выполнения равенства при заполнении листа решений</t>
  </si>
  <si>
    <r>
      <t>= P1</t>
    </r>
    <r>
      <rPr>
        <vertAlign val="subscript"/>
        <sz val="12"/>
        <color theme="1"/>
        <rFont val="Arial"/>
        <family val="2"/>
        <charset val="204"/>
      </rPr>
      <t xml:space="preserve">пред </t>
    </r>
    <r>
      <rPr>
        <sz val="12"/>
        <color theme="1"/>
        <rFont val="Arial"/>
        <family val="2"/>
        <charset val="204"/>
      </rPr>
      <t>+ P1</t>
    </r>
    <r>
      <rPr>
        <vertAlign val="subscript"/>
        <sz val="12"/>
        <color theme="1"/>
        <rFont val="Arial"/>
        <family val="2"/>
        <charset val="204"/>
      </rPr>
      <t>пред</t>
    </r>
    <r>
      <rPr>
        <sz val="12"/>
        <color theme="1"/>
        <rFont val="Arial"/>
        <family val="2"/>
        <charset val="204"/>
      </rPr>
      <t>/1000*P8</t>
    </r>
    <r>
      <rPr>
        <vertAlign val="subscript"/>
        <sz val="12"/>
        <color theme="1"/>
        <rFont val="Arial"/>
        <family val="2"/>
        <charset val="204"/>
      </rPr>
      <t>тек</t>
    </r>
    <r>
      <rPr>
        <sz val="12"/>
        <color theme="1"/>
        <rFont val="Arial"/>
        <family val="2"/>
        <charset val="204"/>
      </rPr>
      <t>*5 - P1</t>
    </r>
    <r>
      <rPr>
        <vertAlign val="subscript"/>
        <sz val="12"/>
        <color theme="1"/>
        <rFont val="Arial"/>
        <family val="2"/>
        <charset val="204"/>
      </rPr>
      <t>пред</t>
    </r>
    <r>
      <rPr>
        <sz val="12"/>
        <color theme="1"/>
        <rFont val="Arial"/>
        <family val="2"/>
        <charset val="204"/>
      </rPr>
      <t>/1000*P5</t>
    </r>
    <r>
      <rPr>
        <vertAlign val="subscript"/>
        <sz val="12"/>
        <color theme="1"/>
        <rFont val="Arial"/>
        <family val="2"/>
        <charset val="204"/>
      </rPr>
      <t>тек</t>
    </r>
    <r>
      <rPr>
        <sz val="12"/>
        <color theme="1"/>
        <rFont val="Arial"/>
        <family val="2"/>
        <charset val="204"/>
      </rPr>
      <t>*5</t>
    </r>
  </si>
  <si>
    <r>
      <t>= F13</t>
    </r>
    <r>
      <rPr>
        <vertAlign val="subscript"/>
        <sz val="12"/>
        <color theme="1"/>
        <rFont val="Arial"/>
        <family val="2"/>
        <charset val="204"/>
      </rPr>
      <t>тек</t>
    </r>
    <r>
      <rPr>
        <sz val="12"/>
        <color theme="1"/>
        <rFont val="Arial"/>
        <family val="2"/>
        <charset val="204"/>
      </rPr>
      <t xml:space="preserve"> + F11</t>
    </r>
    <r>
      <rPr>
        <vertAlign val="subscript"/>
        <sz val="12"/>
        <color theme="1"/>
        <rFont val="Arial"/>
        <family val="2"/>
        <charset val="204"/>
      </rPr>
      <t>тек</t>
    </r>
  </si>
  <si>
    <r>
      <t>= G14</t>
    </r>
    <r>
      <rPr>
        <vertAlign val="subscript"/>
        <sz val="12"/>
        <color theme="1"/>
        <rFont val="Arial"/>
        <family val="2"/>
        <charset val="204"/>
      </rPr>
      <t>тек</t>
    </r>
    <r>
      <rPr>
        <sz val="12"/>
        <color theme="1"/>
        <rFont val="Arial"/>
        <family val="2"/>
        <charset val="204"/>
      </rPr>
      <t xml:space="preserve"> + G12</t>
    </r>
    <r>
      <rPr>
        <vertAlign val="subscript"/>
        <sz val="12"/>
        <color theme="1"/>
        <rFont val="Arial"/>
        <family val="2"/>
        <charset val="204"/>
      </rPr>
      <t>тек</t>
    </r>
  </si>
  <si>
    <t>Продовольствие на душу населения в год (п.п.)</t>
  </si>
  <si>
    <r>
      <t xml:space="preserve">Индекс </t>
    </r>
    <r>
      <rPr>
        <vertAlign val="subscript"/>
        <sz val="12"/>
        <color theme="1"/>
        <rFont val="Arial"/>
        <family val="2"/>
        <charset val="204"/>
      </rPr>
      <t>тек</t>
    </r>
    <r>
      <rPr>
        <sz val="12"/>
        <color theme="1"/>
        <rFont val="Arial"/>
        <family val="2"/>
        <charset val="204"/>
      </rPr>
      <t xml:space="preserve"> - переменная из текущего столбца</t>
    </r>
  </si>
  <si>
    <t>Сначала рассчитываются текущие импорт продовольствия F13 и производство продовольствия F11, потом через них текущее значение P2</t>
  </si>
  <si>
    <t>Сначала рассчитываются текущие импорт товаров G14 и производство товаров G12, потом через них текущее значение P3</t>
  </si>
  <si>
    <r>
      <t xml:space="preserve">Индекс </t>
    </r>
    <r>
      <rPr>
        <vertAlign val="subscript"/>
        <sz val="12"/>
        <color theme="1"/>
        <rFont val="Arial"/>
        <family val="2"/>
        <charset val="204"/>
      </rPr>
      <t>пред</t>
    </r>
    <r>
      <rPr>
        <sz val="12"/>
        <color theme="1"/>
        <rFont val="Arial"/>
        <family val="2"/>
        <charset val="204"/>
      </rPr>
      <t xml:space="preserve"> - переменная из предыдущего столбца (левее)</t>
    </r>
  </si>
  <si>
    <t>Распределяемое на P9 и P10 продовольствие должно в сумме равняться P2</t>
  </si>
  <si>
    <t>Факультет:</t>
  </si>
  <si>
    <t>Команда:</t>
  </si>
  <si>
    <t>Проверка корректности численных значений</t>
  </si>
  <si>
    <t>P4 ≤ 5</t>
  </si>
  <si>
    <t>P9 ≤ P1 * 5 * 5</t>
  </si>
  <si>
    <t>P6 ≤ 15</t>
  </si>
  <si>
    <t>Максимальное количество продовольствия на душу населения в год (расчетное значение P4) в игре составляет 5. Принятое игроками Решение №1 о распределении продовольствия P9 для всего населения на период (т.е. на 5 лет) должно соответствовать этому правилу.</t>
  </si>
  <si>
    <t>Максимальное количество товаров на душу населения в год (расчетное значение P6 не должно превышать 15. Принятое игроками Решение №1 о распределении товаров P11 для всего населения на период (т.е. на 5 лет) должно соответствовать этому правилу.</t>
  </si>
  <si>
    <t>TF12 = P10</t>
  </si>
  <si>
    <t>Соответствие значений в листах решений разных министров</t>
  </si>
  <si>
    <r>
      <t xml:space="preserve">Министр по делам населения </t>
    </r>
    <r>
      <rPr>
        <sz val="15"/>
        <color theme="1"/>
        <rFont val="Arial"/>
        <family val="2"/>
        <charset val="204"/>
      </rPr>
      <t>(</t>
    </r>
    <r>
      <rPr>
        <b/>
        <sz val="15"/>
        <color theme="1"/>
        <rFont val="Arial"/>
        <family val="2"/>
        <charset val="204"/>
      </rPr>
      <t>P</t>
    </r>
    <r>
      <rPr>
        <sz val="15"/>
        <color theme="1"/>
        <rFont val="Arial"/>
        <family val="2"/>
        <charset val="204"/>
      </rPr>
      <t>opulation)</t>
    </r>
  </si>
  <si>
    <t>Значение P10 (продовольствие на экспорт) в графе "Решение №1" Министра по делам населения должно совпадать со значением TF12 в графе "Решение №6" Министра внешней торговли и финансов.</t>
  </si>
  <si>
    <t>Значение P12 (товары для капиталовложения) в графе "Решение №2" Министра по делам населения должно соответствовать сумме значений E26 (капиталовложения в пр-во энергии) и E27 (капиталовложения в энергосбережение) в графе "Решение №5" Министра энергетики, G18 (капиталовложения в пр-во товаров) и G19 (капиталовложения в сферу услуг) в графе "Решение №5" Министра промышленности и сферы услуг, F14 (капиталовложения в производство продовольствия) и F15 (капиталовложения в защиту ОС) в графе "Решение №5" Министра сельского хозяйства и окружающей среды.</t>
  </si>
  <si>
    <t>P12 = E26 + E27 + G18+ G19 +F14 + F15</t>
  </si>
  <si>
    <t>TF11 = P13</t>
  </si>
  <si>
    <t>Значение P13 (товары на экспорт) в графе "Решение №2" Министра по делам населения должно совпадать со значением TF11 в графе "Решение №6" Министра внешней торговли и финансов.</t>
  </si>
  <si>
    <t>Полезное сопоставление</t>
  </si>
  <si>
    <t>Если P12 ≥ G17, то капиталовложения покрывают суммарную амортизацию</t>
  </si>
  <si>
    <t>Значение P12 (товары для капиталовложения) в графе "Решение №1" Министра по делам населения может покрывать либо не покрывать расчетное значение G17, описывающее общее выбытие капитала во всех отраслях экономики (графа "Информация к сведению" на листе Министра промышленности и сферы услуг).</t>
  </si>
  <si>
    <r>
      <t xml:space="preserve">Министр энергетики </t>
    </r>
    <r>
      <rPr>
        <sz val="15"/>
        <color theme="1"/>
        <rFont val="Arial"/>
        <family val="2"/>
        <charset val="204"/>
      </rPr>
      <t>(</t>
    </r>
    <r>
      <rPr>
        <b/>
        <sz val="15"/>
        <color theme="1"/>
        <rFont val="Arial"/>
        <family val="2"/>
        <charset val="204"/>
      </rPr>
      <t>E</t>
    </r>
    <r>
      <rPr>
        <sz val="15"/>
        <color theme="1"/>
        <rFont val="Arial"/>
        <family val="2"/>
        <charset val="204"/>
      </rPr>
      <t>nergy production)</t>
    </r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</si>
  <si>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</si>
  <si>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</si>
  <si>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</si>
  <si>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</si>
  <si>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</si>
  <si>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</si>
  <si>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</si>
  <si>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</si>
  <si>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</si>
  <si>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</si>
  <si>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</si>
  <si>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</si>
  <si>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</si>
  <si>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</si>
  <si>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</si>
  <si>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</si>
  <si>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</si>
  <si>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</si>
  <si>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</si>
  <si>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Решение №3:</t>
  </si>
  <si>
    <t>E20</t>
  </si>
  <si>
    <t>E21</t>
  </si>
  <si>
    <t>E22</t>
  </si>
  <si>
    <t>E23</t>
  </si>
  <si>
    <t>E20 + E21 + E22 + E23 = E7</t>
  </si>
  <si>
    <t>Решение №4:</t>
  </si>
  <si>
    <t>Распределить энергию на производство</t>
  </si>
  <si>
    <t>E24</t>
  </si>
  <si>
    <t>E25</t>
  </si>
  <si>
    <t>E26</t>
  </si>
  <si>
    <t>E24 + E25 = E23</t>
  </si>
  <si>
    <t>Распределить энергоресурсы по направлениям</t>
  </si>
  <si>
    <t>Капиталовложения в энергетику</t>
  </si>
  <si>
    <t>E27</t>
  </si>
  <si>
    <t>TF1</t>
  </si>
  <si>
    <t>Внешний долг</t>
  </si>
  <si>
    <t>Состояние окружающей среды</t>
  </si>
  <si>
    <t>F7</t>
  </si>
  <si>
    <t>Коэффициент потребления энергоресурсов</t>
  </si>
  <si>
    <t>= F9 / F3</t>
  </si>
  <si>
    <t>= (P8 - P5) / 1000</t>
  </si>
  <si>
    <t>= G15 / (G3 + G6)</t>
  </si>
  <si>
    <t>Товары на душу населения в год</t>
  </si>
  <si>
    <t>= P6 + 4 * P4</t>
  </si>
  <si>
    <t>Выбытие капитала для пр-ва энергии (в конце периода)</t>
  </si>
  <si>
    <t>Новый капитал для пр-ва энергии (т.п.)</t>
  </si>
  <si>
    <t>Основной капитал для пр-ва энергии (т.п.)</t>
  </si>
  <si>
    <t>Выбытие капитала энергосбережения (в конце периода)</t>
  </si>
  <si>
    <t>Новый капитал энергосбережения (т.п.)</t>
  </si>
  <si>
    <t>Основной капитал энергосбережения (т.п.)</t>
  </si>
  <si>
    <t>Энергоресурсы на единицу потребляемых товаров</t>
  </si>
  <si>
    <t>Энергоресурсы для населения (п.п.)</t>
  </si>
  <si>
    <t>Коэффициент потребления ресурсов</t>
  </si>
  <si>
    <t>Энергоресурсы на единицу с/х капитала (п.п.)</t>
  </si>
  <si>
    <t>Потребность в энергии для сельского хозяйства (п.п.)</t>
  </si>
  <si>
    <t>Энергоресурсы на единицу пром. капитала (п.п)</t>
  </si>
  <si>
    <t>Потребность в энергии для пр-ва товаров (п.п.)</t>
  </si>
  <si>
    <t>Потребность в энергии для с/х и пром. пр-ва (п.п.)</t>
  </si>
  <si>
    <t>Пр-во энергоресурсов (т.п.)</t>
  </si>
  <si>
    <t>Энергоресурсы на экспорт (п.п.)</t>
  </si>
  <si>
    <t>Импорт энергоресурсов (п.п.)</t>
  </si>
  <si>
    <t>Генерация энергии на единицу капитала в энергетике (т.п.)</t>
  </si>
  <si>
    <t>Энергоресурсы на экспорт</t>
  </si>
  <si>
    <t>Всего энергоресурсов от пр-ва, импорта и резерва (т.п.)</t>
  </si>
  <si>
    <t>Энергоресурсы в резерв</t>
  </si>
  <si>
    <t>Энергоресурсы для пр-ва товаров и продовольствия</t>
  </si>
  <si>
    <t>Энергоресурсы для населения (1/5 потребл. товаров)</t>
  </si>
  <si>
    <t>Энергоресурсы для пр-ва продовольствия</t>
  </si>
  <si>
    <t>Энергоресурсы для пр-ва товаров</t>
  </si>
  <si>
    <t>Капиталовложения в генерацию энергии</t>
  </si>
  <si>
    <t>Капиталовложения в энергосбережение</t>
  </si>
  <si>
    <r>
      <t>= E3</t>
    </r>
    <r>
      <rPr>
        <vertAlign val="subscript"/>
        <sz val="12"/>
        <color theme="1"/>
        <rFont val="Arial"/>
        <family val="2"/>
        <charset val="204"/>
      </rPr>
      <t xml:space="preserve">тек </t>
    </r>
    <r>
      <rPr>
        <sz val="12"/>
        <color theme="1"/>
        <rFont val="Arial"/>
        <family val="2"/>
        <charset val="204"/>
      </rPr>
      <t>/ 5</t>
    </r>
  </si>
  <si>
    <r>
      <t>= E3</t>
    </r>
    <r>
      <rPr>
        <vertAlign val="subscript"/>
        <sz val="12"/>
        <color theme="1"/>
        <rFont val="Arial"/>
        <family val="2"/>
        <charset val="204"/>
      </rPr>
      <t>тек</t>
    </r>
    <r>
      <rPr>
        <sz val="12"/>
        <color theme="1"/>
        <rFont val="Arial"/>
        <family val="2"/>
        <charset val="204"/>
      </rPr>
      <t xml:space="preserve"> * 4 / 5 </t>
    </r>
  </si>
  <si>
    <r>
      <t>= E3</t>
    </r>
    <r>
      <rPr>
        <vertAlign val="subscript"/>
        <sz val="12"/>
        <color theme="1"/>
        <rFont val="Arial"/>
        <family val="2"/>
        <charset val="204"/>
      </rPr>
      <t>пред</t>
    </r>
    <r>
      <rPr>
        <sz val="12"/>
        <color theme="1"/>
        <rFont val="Arial"/>
        <family val="2"/>
        <charset val="204"/>
      </rPr>
      <t xml:space="preserve"> - E1</t>
    </r>
    <r>
      <rPr>
        <vertAlign val="subscript"/>
        <sz val="12"/>
        <color theme="1"/>
        <rFont val="Arial"/>
        <family val="2"/>
        <charset val="204"/>
      </rPr>
      <t>пред</t>
    </r>
    <r>
      <rPr>
        <sz val="12"/>
        <color theme="1"/>
        <rFont val="Arial"/>
        <family val="2"/>
        <charset val="204"/>
      </rPr>
      <t xml:space="preserve"> + E26</t>
    </r>
    <r>
      <rPr>
        <vertAlign val="subscript"/>
        <sz val="12"/>
        <color theme="1"/>
        <rFont val="Arial"/>
        <family val="2"/>
        <charset val="204"/>
      </rPr>
      <t>пред</t>
    </r>
    <r>
      <rPr>
        <sz val="12"/>
        <color theme="1"/>
        <rFont val="Arial"/>
        <family val="2"/>
        <charset val="204"/>
      </rPr>
      <t xml:space="preserve"> = E2</t>
    </r>
    <r>
      <rPr>
        <vertAlign val="subscript"/>
        <sz val="12"/>
        <color theme="1"/>
        <rFont val="Arial"/>
        <family val="2"/>
        <charset val="204"/>
      </rPr>
      <t>пред</t>
    </r>
    <r>
      <rPr>
        <sz val="12"/>
        <color theme="1"/>
        <rFont val="Arial"/>
        <family val="2"/>
        <charset val="204"/>
      </rPr>
      <t xml:space="preserve"> + E26</t>
    </r>
    <r>
      <rPr>
        <vertAlign val="subscript"/>
        <sz val="12"/>
        <color theme="1"/>
        <rFont val="Arial"/>
        <family val="2"/>
        <charset val="204"/>
      </rPr>
      <t>пред</t>
    </r>
  </si>
  <si>
    <r>
      <t>Округляется до десятков и остается постоянной в течение всего периода. Сначала рассчитываются текущие уровни рождаемости P8 и смертности P5, потом через них и предыдущую численность P1</t>
    </r>
    <r>
      <rPr>
        <vertAlign val="subscript"/>
        <sz val="12"/>
        <color theme="1"/>
        <rFont val="Arial"/>
        <family val="2"/>
        <charset val="204"/>
      </rPr>
      <t>пред</t>
    </r>
    <r>
      <rPr>
        <sz val="12"/>
        <color theme="1"/>
        <rFont val="Arial"/>
        <family val="2"/>
        <charset val="204"/>
      </rPr>
      <t xml:space="preserve"> населения рассчитывается текущая численность населения P1</t>
    </r>
  </si>
  <si>
    <t>Распределяемые на P11, P12 и P13 товары должны в сумме равняться P3</t>
  </si>
  <si>
    <t>Сначала рассчитывается текущий основной капитал для пр-ва энергии E3. В конце периода от него останется 4/5 часть</t>
  </si>
  <si>
    <r>
      <t>= E6</t>
    </r>
    <r>
      <rPr>
        <vertAlign val="subscript"/>
        <sz val="12"/>
        <color theme="1"/>
        <rFont val="Arial"/>
        <family val="2"/>
        <charset val="204"/>
      </rPr>
      <t>пред</t>
    </r>
    <r>
      <rPr>
        <sz val="12"/>
        <color theme="1"/>
        <rFont val="Arial"/>
        <family val="2"/>
        <charset val="204"/>
      </rPr>
      <t xml:space="preserve"> - E4</t>
    </r>
    <r>
      <rPr>
        <vertAlign val="subscript"/>
        <sz val="12"/>
        <color theme="1"/>
        <rFont val="Arial"/>
        <family val="2"/>
        <charset val="204"/>
      </rPr>
      <t>пред</t>
    </r>
    <r>
      <rPr>
        <sz val="12"/>
        <color theme="1"/>
        <rFont val="Arial"/>
        <family val="2"/>
        <charset val="204"/>
      </rPr>
      <t xml:space="preserve"> + E27</t>
    </r>
    <r>
      <rPr>
        <vertAlign val="subscript"/>
        <sz val="12"/>
        <color theme="1"/>
        <rFont val="Arial"/>
        <family val="2"/>
        <charset val="204"/>
      </rPr>
      <t>пред</t>
    </r>
    <r>
      <rPr>
        <sz val="12"/>
        <color theme="1"/>
        <rFont val="Arial"/>
        <family val="2"/>
        <charset val="204"/>
      </rPr>
      <t xml:space="preserve"> = E5</t>
    </r>
    <r>
      <rPr>
        <vertAlign val="subscript"/>
        <sz val="12"/>
        <color theme="1"/>
        <rFont val="Arial"/>
        <family val="2"/>
        <charset val="204"/>
      </rPr>
      <t>пред</t>
    </r>
    <r>
      <rPr>
        <sz val="12"/>
        <color theme="1"/>
        <rFont val="Arial"/>
        <family val="2"/>
        <charset val="204"/>
      </rPr>
      <t xml:space="preserve"> + E27</t>
    </r>
    <r>
      <rPr>
        <vertAlign val="subscript"/>
        <sz val="12"/>
        <color theme="1"/>
        <rFont val="Arial"/>
        <family val="2"/>
        <charset val="204"/>
      </rPr>
      <t>пред</t>
    </r>
  </si>
  <si>
    <r>
      <t>= E17</t>
    </r>
    <r>
      <rPr>
        <vertAlign val="subscript"/>
        <sz val="12"/>
        <color theme="1"/>
        <rFont val="Arial"/>
        <family val="2"/>
        <charset val="204"/>
      </rPr>
      <t>тек</t>
    </r>
    <r>
      <rPr>
        <sz val="12"/>
        <color theme="1"/>
        <rFont val="Arial"/>
        <family val="2"/>
        <charset val="204"/>
      </rPr>
      <t xml:space="preserve"> + E19</t>
    </r>
    <r>
      <rPr>
        <vertAlign val="subscript"/>
        <sz val="12"/>
        <color theme="1"/>
        <rFont val="Arial"/>
        <family val="2"/>
        <charset val="204"/>
      </rPr>
      <t>тек</t>
    </r>
    <r>
      <rPr>
        <sz val="12"/>
        <color theme="1"/>
        <rFont val="Arial"/>
        <family val="2"/>
        <charset val="204"/>
      </rPr>
      <t xml:space="preserve"> + E22</t>
    </r>
    <r>
      <rPr>
        <vertAlign val="subscript"/>
        <sz val="12"/>
        <color theme="1"/>
        <rFont val="Arial"/>
        <family val="2"/>
        <charset val="204"/>
      </rPr>
      <t>пред</t>
    </r>
  </si>
  <si>
    <t>Всего энергоресурсов (т.п.) от пр-ва, импорта и резерва</t>
  </si>
  <si>
    <t>= 0,2</t>
  </si>
  <si>
    <t>Энергоресурсы на единицу потребляемых товаров - величина постоянная, равна 0,2</t>
  </si>
  <si>
    <t>Стартовое значение 18 уже рассчитано по этой методике по стартовым значениям P4 и F7</t>
  </si>
  <si>
    <t>Стартовое значение 2,25 уже рассчитано по этой методике по стартовым значениям G6 и P1</t>
  </si>
  <si>
    <t>Стартовое значение 41 уже рассчитано по этой методике по стартовым значениям P6 и P7</t>
  </si>
  <si>
    <t>Сначала рассчитывается текущий основной капитал энергосбережения E6. В конце периода от него останется 4/5 часть. Стартовое значение 0</t>
  </si>
  <si>
    <t>Общее количество энергоресурсов на начало каждого периода рассчитыватся как сумма энергоресурсов E17, произведенных за предыдущий период и доступных в текущем периоде, плюс импорт E19 и плюс резерв от предыдущего периода E22. На начальном этапе резерв 0</t>
  </si>
  <si>
    <t>Figure E-2:  Energy consumption multiplier as a function of energy efficiency capital per unit of total capital in food and goods production.</t>
  </si>
  <si>
    <t>График E-2. Зависимость коэффициента потребления ресурсов от капиталовложений в энергосбережение.</t>
  </si>
  <si>
    <t>Figure P-1: Normal birth rate as a function of average good consumption per year per person (averaged over the last three cycles).</t>
  </si>
  <si>
    <t>График P-1. Зависимость коэффициента рождаемости от среднего потребления товаров на душу населения в год за прошлые три периода.</t>
  </si>
  <si>
    <t>Среднее потребление товаров на душу населения в год за прошлые три периода</t>
  </si>
  <si>
    <t>Коэффициент рождаемости</t>
  </si>
  <si>
    <t>Figure P-2: Birth multiplier as a function of human services capital per person.</t>
  </si>
  <si>
    <t>График P-2. Зависимость множителя рождаемости от услуг на душу населения.</t>
  </si>
  <si>
    <t>Множитель рождаемости</t>
  </si>
  <si>
    <t>(безразмерен)</t>
  </si>
  <si>
    <t>Капитал сферы услуг на душу населения</t>
  </si>
  <si>
    <t>Figure P-3: Normal death rate as a function of food consumption per year per person.</t>
  </si>
  <si>
    <t>График P-3. Зависимость уровня смертности от продовольствия на душу населения в год.</t>
  </si>
  <si>
    <t>Коэффициент смертности</t>
  </si>
  <si>
    <t>График P-4. Зависимость множителя смертности от состояния окружающей среды.</t>
  </si>
  <si>
    <t>Figure P-4: Death multiplier as a function of the quality of the environment.</t>
  </si>
  <si>
    <t>Множитель смертности</t>
  </si>
  <si>
    <t>Капиталовложения в энергосбережения</t>
  </si>
  <si>
    <r>
      <t>= E10</t>
    </r>
    <r>
      <rPr>
        <vertAlign val="subscript"/>
        <sz val="12"/>
        <color theme="1"/>
        <rFont val="Arial"/>
        <family val="2"/>
        <charset val="204"/>
      </rPr>
      <t>тек</t>
    </r>
    <r>
      <rPr>
        <sz val="12"/>
        <color theme="1"/>
        <rFont val="Arial"/>
        <family val="2"/>
        <charset val="204"/>
      </rPr>
      <t xml:space="preserve"> * 2,5 * 5</t>
    </r>
  </si>
  <si>
    <r>
      <t>= E10</t>
    </r>
    <r>
      <rPr>
        <vertAlign val="subscript"/>
        <sz val="12"/>
        <color theme="1"/>
        <rFont val="Arial"/>
        <family val="2"/>
        <charset val="204"/>
      </rPr>
      <t>тек</t>
    </r>
    <r>
      <rPr>
        <sz val="12"/>
        <color theme="1"/>
        <rFont val="Arial"/>
        <family val="2"/>
        <charset val="204"/>
      </rPr>
      <t xml:space="preserve"> * 4,0 * 5</t>
    </r>
  </si>
  <si>
    <r>
      <t>= E11</t>
    </r>
    <r>
      <rPr>
        <vertAlign val="subscript"/>
        <sz val="12"/>
        <color theme="1"/>
        <rFont val="Arial"/>
        <family val="2"/>
        <charset val="204"/>
      </rPr>
      <t>тек</t>
    </r>
    <r>
      <rPr>
        <sz val="12"/>
        <color theme="1"/>
        <rFont val="Arial"/>
        <family val="2"/>
        <charset val="204"/>
      </rPr>
      <t xml:space="preserve"> * F3</t>
    </r>
    <r>
      <rPr>
        <vertAlign val="subscript"/>
        <sz val="12"/>
        <color theme="1"/>
        <rFont val="Arial"/>
        <family val="2"/>
        <charset val="204"/>
      </rPr>
      <t>тек</t>
    </r>
  </si>
  <si>
    <t>Стартовое значение 10000 уже рассчитано по этой методике по стартовым значениям E11 и F3</t>
  </si>
  <si>
    <t>Стартовое значение 6000 уже рассчитано по этой методике по стартовым значениям E11 и F3</t>
  </si>
  <si>
    <r>
      <t>= E13</t>
    </r>
    <r>
      <rPr>
        <vertAlign val="subscript"/>
        <sz val="12"/>
        <color theme="1"/>
        <rFont val="Arial"/>
        <family val="2"/>
        <charset val="204"/>
      </rPr>
      <t>тек</t>
    </r>
    <r>
      <rPr>
        <sz val="12"/>
        <color theme="1"/>
        <rFont val="Arial"/>
        <family val="2"/>
        <charset val="204"/>
      </rPr>
      <t xml:space="preserve"> * G3</t>
    </r>
    <r>
      <rPr>
        <vertAlign val="subscript"/>
        <sz val="12"/>
        <color theme="1"/>
        <rFont val="Arial"/>
        <family val="2"/>
        <charset val="204"/>
      </rPr>
      <t>тек</t>
    </r>
  </si>
  <si>
    <r>
      <t>= E12</t>
    </r>
    <r>
      <rPr>
        <vertAlign val="subscript"/>
        <sz val="12"/>
        <color theme="1"/>
        <rFont val="Arial"/>
        <family val="2"/>
        <charset val="204"/>
      </rPr>
      <t>тек</t>
    </r>
    <r>
      <rPr>
        <sz val="12"/>
        <color theme="1"/>
        <rFont val="Arial"/>
        <family val="2"/>
        <charset val="204"/>
      </rPr>
      <t xml:space="preserve"> + E14</t>
    </r>
    <r>
      <rPr>
        <vertAlign val="subscript"/>
        <sz val="12"/>
        <color theme="1"/>
        <rFont val="Arial"/>
        <family val="2"/>
        <charset val="204"/>
      </rPr>
      <t>тек</t>
    </r>
  </si>
  <si>
    <t>Стартовое значение 16000 уже рассчитано по этой методике по стартовым значениям E12 и E14</t>
  </si>
  <si>
    <t>Если энергоресурсов достаточно, то в игре можно выделить на 10% больше энергоресурсов, чем требуется. Например, используя дополнительные энергоресурсы, можно увеличить время эксплуатации техники на несколько часов в день, благодаря чему увеличится производство продуктов питания. Энергоресурсы, выделенные сверх этих 10%, теряются.</t>
  </si>
  <si>
    <t>Стартовое значение 1,0, может уменьшиться до 0,3  в рез-те внедрения энергосберегающих технологий в с/х и пр-ти</t>
  </si>
  <si>
    <t>(если переводить размерность коэффициента в промилле (чел./1000 чел.), то величины нужно умножить на 1000)</t>
  </si>
  <si>
    <t>Figure E-1: Energy production per cycle as a function of energy production capital (both in units of 1000's).</t>
  </si>
  <si>
    <t>Капитал для пр-ва энергии</t>
  </si>
  <si>
    <t>Генерация энергоресурсов за период</t>
  </si>
  <si>
    <t>(размерность в 1000 единиц)</t>
  </si>
  <si>
    <r>
      <t>= P9</t>
    </r>
    <r>
      <rPr>
        <vertAlign val="subscript"/>
        <sz val="12"/>
        <color theme="1"/>
        <rFont val="Arial"/>
        <family val="2"/>
        <charset val="204"/>
      </rPr>
      <t xml:space="preserve">пред </t>
    </r>
    <r>
      <rPr>
        <sz val="12"/>
        <color theme="1"/>
        <rFont val="Arial"/>
        <family val="2"/>
        <charset val="204"/>
      </rPr>
      <t>/ (P1</t>
    </r>
    <r>
      <rPr>
        <vertAlign val="subscript"/>
        <sz val="12"/>
        <color theme="1"/>
        <rFont val="Arial"/>
        <family val="2"/>
        <charset val="204"/>
      </rPr>
      <t>пред</t>
    </r>
    <r>
      <rPr>
        <sz val="12"/>
        <color theme="1"/>
        <rFont val="Arial"/>
        <family val="2"/>
        <charset val="204"/>
      </rPr>
      <t>* 5)</t>
    </r>
  </si>
  <si>
    <r>
      <t>= P11</t>
    </r>
    <r>
      <rPr>
        <vertAlign val="subscript"/>
        <sz val="12"/>
        <color theme="1"/>
        <rFont val="Arial"/>
        <family val="2"/>
        <charset val="204"/>
      </rPr>
      <t xml:space="preserve">пред </t>
    </r>
    <r>
      <rPr>
        <sz val="12"/>
        <color theme="1"/>
        <rFont val="Arial"/>
        <family val="2"/>
        <charset val="204"/>
      </rPr>
      <t>/ (P1</t>
    </r>
    <r>
      <rPr>
        <vertAlign val="subscript"/>
        <sz val="12"/>
        <color theme="1"/>
        <rFont val="Arial"/>
        <family val="2"/>
        <charset val="204"/>
      </rPr>
      <t>пред</t>
    </r>
    <r>
      <rPr>
        <sz val="12"/>
        <color theme="1"/>
        <rFont val="Arial"/>
        <family val="2"/>
        <charset val="204"/>
      </rPr>
      <t>* 5)</t>
    </r>
  </si>
  <si>
    <r>
      <t>= (линейной интерполяцией по Графику P-3 как функция от P4</t>
    </r>
    <r>
      <rPr>
        <vertAlign val="subscript"/>
        <sz val="12"/>
        <color theme="1"/>
        <rFont val="Arial"/>
        <family val="2"/>
        <charset val="204"/>
      </rPr>
      <t>тек</t>
    </r>
    <r>
      <rPr>
        <sz val="12"/>
        <color theme="1"/>
        <rFont val="Arial"/>
        <family val="2"/>
        <charset val="204"/>
      </rPr>
      <t>) * (линейной интерполяцией по Графику P-4 как функция от F7</t>
    </r>
    <r>
      <rPr>
        <vertAlign val="subscript"/>
        <sz val="12"/>
        <color theme="1"/>
        <rFont val="Arial"/>
        <family val="2"/>
        <charset val="204"/>
      </rPr>
      <t>тек</t>
    </r>
    <r>
      <rPr>
        <sz val="12"/>
        <color theme="1"/>
        <rFont val="Arial"/>
        <family val="2"/>
        <charset val="204"/>
      </rPr>
      <t>) * 1000</t>
    </r>
  </si>
  <si>
    <r>
      <t>= (линейной интерполяцией по Графику P-1 как функция от P6</t>
    </r>
    <r>
      <rPr>
        <vertAlign val="subscript"/>
        <sz val="12"/>
        <color theme="1"/>
        <rFont val="Arial"/>
        <family val="2"/>
        <charset val="204"/>
      </rPr>
      <t>тек</t>
    </r>
    <r>
      <rPr>
        <sz val="12"/>
        <color theme="1"/>
        <rFont val="Arial"/>
        <family val="2"/>
        <charset val="204"/>
      </rPr>
      <t>) * (линейной интерполяцией по Графику P-2 как функция от P7</t>
    </r>
    <r>
      <rPr>
        <vertAlign val="subscript"/>
        <sz val="12"/>
        <color theme="1"/>
        <rFont val="Arial"/>
        <family val="2"/>
        <charset val="204"/>
      </rPr>
      <t>тек</t>
    </r>
    <r>
      <rPr>
        <sz val="12"/>
        <color theme="1"/>
        <rFont val="Arial"/>
        <family val="2"/>
        <charset val="204"/>
      </rPr>
      <t>) * 1000</t>
    </r>
  </si>
  <si>
    <t>График E-1. Зависимость генерации энергоресурсов за период от капитала для пр-ва энергии (размерности по осям в 1000 единиц).</t>
  </si>
  <si>
    <t>Стартовое значение 17,5 уже рассчитано по этой методике по стартовым значениям E17 и E3. В ходе игры соотношение может уменьшаться - чем больше генерация энергии, тем ниже отдача на единицу капитала, вплоть до значения 3,5</t>
  </si>
  <si>
    <t>Стартовое значение 14000 уже рассчитано по этой зваисимости по стартовому значению капитала для пр-ва энергии E3 = 800. Важно помнить, что на графике E-1 обе оси используют размерность 1000 единиц</t>
  </si>
  <si>
    <t>Количество необходимых энергоресурсов на единицу капитала в пр-ти рассчитывается как произведение коэффициента потребления энергоресурсов на норму энергоресурсов на единицу капитала в пр-ти (4 ед. энергоресурсов на 1 ед. капитала в пр-ти в год). Для расчета не на год, а на период домножается на 5</t>
  </si>
  <si>
    <t>Количество необходимых энергоресурсов на единицу капитала в с/х рассчитывается как произведение коэффициента потребления энергоресурсов на норму энергоресурсов на единицу капитала в с/х (2,5 ед. энергоресурсов на 1 ед. капитала в с/х в год). На период ресурсов нужно в 5 раз больше</t>
  </si>
  <si>
    <t>Доступные энергоресурсы E7 распределяются на потребление населением E20 (приоритетно) + энергоресурсы на экспорт E21 + энергоресурсы в резерв E22 + энергоресурсы на пр-во продовольствия и товаров E23</t>
  </si>
  <si>
    <t>Энергоресурсы на пр-во продовольствия и товаров E23 подразделяются на энергоресурсы на пр-во продовольствия E24 и энергоресурсы на пр-во товаров E25</t>
  </si>
  <si>
    <t>E20 = P11 / 5</t>
  </si>
  <si>
    <t>E21 = TF10</t>
  </si>
  <si>
    <t>Решение №5:</t>
  </si>
  <si>
    <t>Энергоресурсы на экспорт E21 в графе "Решение №3" Министра энергетики должно совпадать со значением TF10 в графе "Решение №6" Министра внешней торговли и финансов.</t>
  </si>
  <si>
    <t>Стартовое значение 2 задано в явном виде, все последующие рассчитываются с учетом принятых решений P9 Министра по делам населения</t>
  </si>
  <si>
    <t>Стартовое значение 2 задано в явном виде, все последующие рассчитываются с учетом принятых решений P11 Министра по делам населения</t>
  </si>
  <si>
    <t>Основной капитал для пр-ва энергии на текущий период рассчитывается как основной капитал E3 предыдущего периода за вычетом выбывающего капитала E1 + капиталовложения в генерацию энергии E26 по решению Министра энергетики</t>
  </si>
  <si>
    <t>Энергия, связанная с потреблением товаров населением, рассчитывается как 1/5 кол-ва товаров P11. Стартовое значение 400 задано в явном виде, все последующие рассчитываются с учетом принятых решений P11 Министра по делам населения. Округление до десятков</t>
  </si>
  <si>
    <t>Стартовое значение 0. В последующие периоды игры - решение Министра энергетики E21 в предыдущем периоде</t>
  </si>
  <si>
    <t>Основной капитал энергосбережения на текущий период рассчитывается как основной капитал E6 предыдущего периода за вычетом выбывающего капитала E4 + капиталовложения в энергосбережение E27 по решению Министра энергетики. На начальном этапе капитал энергосбережения 0</t>
  </si>
  <si>
    <t>Или, что то же самое:
E23 = E7 - (E20 + E21 + E22)</t>
  </si>
  <si>
    <t>E20 - количество энергоресурсов для населения. Выделяется приоритетно в сравнении с остальными направлениями, всегда должно составлять 1/5 часть от товаров P11, выделенных для населения. Округляется до десятков.</t>
  </si>
  <si>
    <t>E27 ≤ G18 + F14</t>
  </si>
  <si>
    <t>Величина капиталовложений в энергосбережение E27 (графа "Решение №5" Министра энергетики) не должна превышать сумму капиталовложений в пр-во продовольствия F14 (графа "Решение №5" Министра с/х и ОС) и капиталовложений в пр-во товаров G18 (графа "Решение №5" Министра пр-ти и сферы услуг) в том же периоде.</t>
  </si>
  <si>
    <r>
      <t xml:space="preserve">Министр промышленности и сферы услуг </t>
    </r>
    <r>
      <rPr>
        <sz val="15"/>
        <color theme="1"/>
        <rFont val="Arial"/>
        <family val="2"/>
        <charset val="204"/>
      </rPr>
      <t>(</t>
    </r>
    <r>
      <rPr>
        <b/>
        <sz val="15"/>
        <color theme="1"/>
        <rFont val="Arial"/>
        <family val="2"/>
        <charset val="204"/>
      </rPr>
      <t>G</t>
    </r>
    <r>
      <rPr>
        <sz val="15"/>
        <color theme="1"/>
        <rFont val="Arial"/>
        <family val="2"/>
        <charset val="204"/>
      </rPr>
      <t>oods)</t>
    </r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</si>
  <si>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</si>
  <si>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</si>
  <si>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</si>
  <si>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</si>
  <si>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</si>
  <si>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</si>
  <si>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</si>
  <si>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</si>
  <si>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</si>
  <si>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</si>
  <si>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</si>
  <si>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</si>
  <si>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</si>
  <si>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</si>
  <si>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</si>
  <si>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</si>
  <si>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</si>
  <si>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</si>
  <si>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</si>
  <si>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Выбытие капитала для пр-ва товаров (в конце периода)</t>
  </si>
  <si>
    <t>Новый капитал для пр-ва товаров (т.п.)</t>
  </si>
  <si>
    <t>Основной капитал для пр-ва товаров (т.п.)</t>
  </si>
  <si>
    <t>Выбытие капитала сферы услуг (в конце периода)</t>
  </si>
  <si>
    <t>Новый капитал сферы услуг (т.п.)</t>
  </si>
  <si>
    <t>Основной капитал сферы услуг (т.п.)</t>
  </si>
  <si>
    <t>Капитал на 1 рабочего (т.п.)</t>
  </si>
  <si>
    <t>Услуги на душу населения (т.п.)</t>
  </si>
  <si>
    <t>Коэффициент использования капитала (п.п.)</t>
  </si>
  <si>
    <t>Экспорт товаров (п.п.)</t>
  </si>
  <si>
    <t>Импорт товаров (п.п)</t>
  </si>
  <si>
    <t>Всего товаров (т.п.)</t>
  </si>
  <si>
    <t>Капиталовложения в пр-во товаров</t>
  </si>
  <si>
    <t>Капиталовложения в сферу услуг</t>
  </si>
  <si>
    <t>Выбытие капитала во всех секторах эк-ки (к концу периода)</t>
  </si>
  <si>
    <r>
      <t xml:space="preserve">Министр сельского хозяйства
и окружающей среды </t>
    </r>
    <r>
      <rPr>
        <sz val="15"/>
        <color theme="1"/>
        <rFont val="Arial"/>
        <family val="2"/>
        <charset val="204"/>
      </rPr>
      <t>(</t>
    </r>
    <r>
      <rPr>
        <b/>
        <sz val="15"/>
        <color theme="1"/>
        <rFont val="Arial"/>
        <family val="2"/>
        <charset val="204"/>
      </rPr>
      <t>F</t>
    </r>
    <r>
      <rPr>
        <sz val="15"/>
        <color theme="1"/>
        <rFont val="Arial"/>
        <family val="2"/>
        <charset val="204"/>
      </rPr>
      <t>ood)</t>
    </r>
  </si>
  <si>
    <t>F1</t>
  </si>
  <si>
    <t>F2</t>
  </si>
  <si>
    <t>F3</t>
  </si>
  <si>
    <t>F4</t>
  </si>
  <si>
    <t>F5</t>
  </si>
  <si>
    <t>F6</t>
  </si>
  <si>
    <t>F8</t>
  </si>
  <si>
    <t>F9</t>
  </si>
  <si>
    <t>F10</t>
  </si>
  <si>
    <t>F11</t>
  </si>
  <si>
    <t>F12</t>
  </si>
  <si>
    <t>F13</t>
  </si>
  <si>
    <t>F14</t>
  </si>
  <si>
    <t>F15</t>
  </si>
  <si>
    <t>Распределить капиталовложения</t>
  </si>
  <si>
    <t>Распределить товары на капиталовложения</t>
  </si>
  <si>
    <t>Всего товаров (п.п.)</t>
  </si>
  <si>
    <r>
      <t>= G3</t>
    </r>
    <r>
      <rPr>
        <vertAlign val="subscript"/>
        <sz val="12"/>
        <color theme="1"/>
        <rFont val="Arial"/>
        <family val="2"/>
        <charset val="204"/>
      </rPr>
      <t xml:space="preserve">тек </t>
    </r>
    <r>
      <rPr>
        <sz val="12"/>
        <color theme="1"/>
        <rFont val="Arial"/>
        <family val="2"/>
        <charset val="204"/>
      </rPr>
      <t>/ 5</t>
    </r>
  </si>
  <si>
    <r>
      <t>= G3</t>
    </r>
    <r>
      <rPr>
        <vertAlign val="subscript"/>
        <sz val="12"/>
        <color theme="1"/>
        <rFont val="Arial"/>
        <family val="2"/>
        <charset val="204"/>
      </rPr>
      <t>тек</t>
    </r>
    <r>
      <rPr>
        <sz val="12"/>
        <color theme="1"/>
        <rFont val="Arial"/>
        <family val="2"/>
        <charset val="204"/>
      </rPr>
      <t xml:space="preserve"> * 4 / 5 </t>
    </r>
  </si>
  <si>
    <t>Сначала рассчитывается текущий основной капитал для пр-ва товаров G3. В конце периода от него останется 4/5 часть</t>
  </si>
  <si>
    <r>
      <t>= G3</t>
    </r>
    <r>
      <rPr>
        <vertAlign val="subscript"/>
        <sz val="12"/>
        <color theme="1"/>
        <rFont val="Arial"/>
        <family val="2"/>
        <charset val="204"/>
      </rPr>
      <t>пред</t>
    </r>
    <r>
      <rPr>
        <sz val="12"/>
        <color theme="1"/>
        <rFont val="Arial"/>
        <family val="2"/>
        <charset val="204"/>
      </rPr>
      <t xml:space="preserve"> - G1</t>
    </r>
    <r>
      <rPr>
        <vertAlign val="subscript"/>
        <sz val="12"/>
        <color theme="1"/>
        <rFont val="Arial"/>
        <family val="2"/>
        <charset val="204"/>
      </rPr>
      <t>пред</t>
    </r>
    <r>
      <rPr>
        <sz val="12"/>
        <color theme="1"/>
        <rFont val="Arial"/>
        <family val="2"/>
        <charset val="204"/>
      </rPr>
      <t xml:space="preserve"> + G18</t>
    </r>
    <r>
      <rPr>
        <vertAlign val="subscript"/>
        <sz val="12"/>
        <color theme="1"/>
        <rFont val="Arial"/>
        <family val="2"/>
        <charset val="204"/>
      </rPr>
      <t>пред</t>
    </r>
    <r>
      <rPr>
        <sz val="12"/>
        <color theme="1"/>
        <rFont val="Arial"/>
        <family val="2"/>
        <charset val="204"/>
      </rPr>
      <t xml:space="preserve"> = G2</t>
    </r>
    <r>
      <rPr>
        <vertAlign val="subscript"/>
        <sz val="12"/>
        <color theme="1"/>
        <rFont val="Arial"/>
        <family val="2"/>
        <charset val="204"/>
      </rPr>
      <t>пред</t>
    </r>
    <r>
      <rPr>
        <sz val="12"/>
        <color theme="1"/>
        <rFont val="Arial"/>
        <family val="2"/>
        <charset val="204"/>
      </rPr>
      <t xml:space="preserve"> + G18</t>
    </r>
    <r>
      <rPr>
        <vertAlign val="subscript"/>
        <sz val="12"/>
        <color theme="1"/>
        <rFont val="Arial"/>
        <family val="2"/>
        <charset val="204"/>
      </rPr>
      <t>пред</t>
    </r>
  </si>
  <si>
    <t>Основной капитал для пр-ва товаров на текущий период рассчитывается как основной капитал G3 предыдущего периода за вычетом выбывающего капитала G1 + капиталовложения в пр-во товаров G18 по решению Министра пр-ти и сферы услуг</t>
  </si>
  <si>
    <t>Сначала рассчитывается текущий основной капитал сферы услуг G6. В конце периода 1/9 часть от него будет выбывать (срок жизни капитала 45 лет)</t>
  </si>
  <si>
    <t>Сначала рассчитывается текущий основной капитал для пр-ва товаров G3. В конце периода 1/5 часть от него будет выбывать (срок жизни капитала 25 лет)</t>
  </si>
  <si>
    <t>Сначала рассчитывается текущий основной капитал для пр-ва энергии E3. В конце периода 1/5 часть от него будет выбывать (срок жизни капитала 25 лет)</t>
  </si>
  <si>
    <t>Сначала рассчитывается текущий основной капитал энергосбережения E6. В конце периода 1/5 часть от него будет выбывать (срок жизни капитала 25 лет). Стартовое значение 0</t>
  </si>
  <si>
    <r>
      <t>= G6</t>
    </r>
    <r>
      <rPr>
        <vertAlign val="subscript"/>
        <sz val="12"/>
        <color theme="1"/>
        <rFont val="Arial"/>
        <family val="2"/>
        <charset val="204"/>
      </rPr>
      <t>пред</t>
    </r>
    <r>
      <rPr>
        <sz val="12"/>
        <color theme="1"/>
        <rFont val="Arial"/>
        <family val="2"/>
        <charset val="204"/>
      </rPr>
      <t xml:space="preserve"> - G4</t>
    </r>
    <r>
      <rPr>
        <vertAlign val="subscript"/>
        <sz val="12"/>
        <color theme="1"/>
        <rFont val="Arial"/>
        <family val="2"/>
        <charset val="204"/>
      </rPr>
      <t>пред</t>
    </r>
    <r>
      <rPr>
        <sz val="12"/>
        <color theme="1"/>
        <rFont val="Arial"/>
        <family val="2"/>
        <charset val="204"/>
      </rPr>
      <t xml:space="preserve"> + G19</t>
    </r>
    <r>
      <rPr>
        <vertAlign val="subscript"/>
        <sz val="12"/>
        <color theme="1"/>
        <rFont val="Arial"/>
        <family val="2"/>
        <charset val="204"/>
      </rPr>
      <t>пред</t>
    </r>
    <r>
      <rPr>
        <sz val="12"/>
        <color theme="1"/>
        <rFont val="Arial"/>
        <family val="2"/>
        <charset val="204"/>
      </rPr>
      <t xml:space="preserve"> = G5</t>
    </r>
    <r>
      <rPr>
        <vertAlign val="subscript"/>
        <sz val="12"/>
        <color theme="1"/>
        <rFont val="Arial"/>
        <family val="2"/>
        <charset val="204"/>
      </rPr>
      <t>пред</t>
    </r>
    <r>
      <rPr>
        <sz val="12"/>
        <color theme="1"/>
        <rFont val="Arial"/>
        <family val="2"/>
        <charset val="204"/>
      </rPr>
      <t xml:space="preserve"> + G19</t>
    </r>
    <r>
      <rPr>
        <vertAlign val="subscript"/>
        <sz val="12"/>
        <color theme="1"/>
        <rFont val="Arial"/>
        <family val="2"/>
        <charset val="204"/>
      </rPr>
      <t>пред</t>
    </r>
  </si>
  <si>
    <t>Сначала рассчитывается текущий основной капитал сферы услуг G6. В конце периода от него останется 8/9 часть</t>
  </si>
  <si>
    <t>Основной капитал сферы услуг на текущий период рассчитывается как основной капитал G6 предыдущего периода за вычетом выбывающего капитала G4 + капиталовложения в в сферу услуг G19 по решению Министра пр-ти и сферы услуг</t>
  </si>
  <si>
    <r>
      <t>= G3</t>
    </r>
    <r>
      <rPr>
        <vertAlign val="subscript"/>
        <sz val="12"/>
        <color theme="1"/>
        <rFont val="Arial"/>
        <family val="2"/>
        <charset val="204"/>
      </rPr>
      <t>тек</t>
    </r>
    <r>
      <rPr>
        <sz val="12"/>
        <color theme="1"/>
        <rFont val="Arial"/>
        <family val="2"/>
        <charset val="204"/>
      </rPr>
      <t xml:space="preserve"> / (0,25 * P1</t>
    </r>
    <r>
      <rPr>
        <vertAlign val="subscript"/>
        <sz val="12"/>
        <color theme="1"/>
        <rFont val="Arial"/>
        <family val="2"/>
        <charset val="204"/>
      </rPr>
      <t>тек</t>
    </r>
    <r>
      <rPr>
        <sz val="12"/>
        <color theme="1"/>
        <rFont val="Arial"/>
        <family val="2"/>
        <charset val="204"/>
      </rPr>
      <t>)</t>
    </r>
  </si>
  <si>
    <t>Figure G-3: Multiplier on goods production as a function of the active goods production capital per labourer (MGP).</t>
  </si>
  <si>
    <t>Отношение капитала для пр-ва товаров G3 к численности рабочей силы в пр-ти (рабочая сила = 0,25 * численность населения). Стартовое значение 6 уже рассчитано по этому соотношению</t>
  </si>
  <si>
    <r>
      <t>Отношение энергоресурсов E25, выделенных для пр-ва товаров решением Министра энергетики, к потребности E14 в энергоресурсах для пр-ва товаров. Изменяется от 0 до 1,1. Энергоресурсы, выделенные сверх 110% от потребностей, теряются. Превышение потребностей в диапазоне ]100%;110%] увеличивает выпуск товаров пропорционально превышению. Стартовое значение 1 задано в явном виде, последующие рассчитываются через E25</t>
    </r>
    <r>
      <rPr>
        <vertAlign val="subscript"/>
        <sz val="12"/>
        <color theme="1"/>
        <rFont val="Arial"/>
        <family val="2"/>
        <charset val="204"/>
      </rPr>
      <t>пред</t>
    </r>
    <r>
      <rPr>
        <sz val="12"/>
        <color theme="1"/>
        <rFont val="Arial"/>
        <family val="2"/>
        <charset val="204"/>
      </rPr>
      <t xml:space="preserve"> и E14</t>
    </r>
    <r>
      <rPr>
        <vertAlign val="subscript"/>
        <sz val="12"/>
        <color theme="1"/>
        <rFont val="Arial"/>
        <family val="2"/>
        <charset val="204"/>
      </rPr>
      <t>пред</t>
    </r>
  </si>
  <si>
    <t>Коэф. пр-ти труда от услуг на душу населения (т.п.)</t>
  </si>
  <si>
    <t>Коэф. пр-ти труда от акт. капитала на 1 рабочего (т.п.)</t>
  </si>
  <si>
    <t>Величина активного производительного капитала на 1 рабочего</t>
  </si>
  <si>
    <t>Figure G-2: Multiplier on goods production as a function of the ratio of human services capital to the total population (MHS).</t>
  </si>
  <si>
    <t>Коэффициент производительности труда от услуг на душу населения</t>
  </si>
  <si>
    <t>Коэффициент производительности труда от капитала на 1 рабочего</t>
  </si>
  <si>
    <t>Figure G-1: Multiplier on goods production as a function of the ratio of goods consumption this cycle to the consumption last cycle (MGC).</t>
  </si>
  <si>
    <r>
      <t>= E25</t>
    </r>
    <r>
      <rPr>
        <vertAlign val="subscript"/>
        <sz val="12"/>
        <color theme="1"/>
        <rFont val="Arial"/>
        <family val="2"/>
        <charset val="204"/>
      </rPr>
      <t>пред</t>
    </r>
    <r>
      <rPr>
        <sz val="12"/>
        <color theme="1"/>
        <rFont val="Arial"/>
        <family val="2"/>
        <charset val="204"/>
      </rPr>
      <t xml:space="preserve"> / (E14</t>
    </r>
    <r>
      <rPr>
        <vertAlign val="subscript"/>
        <sz val="12"/>
        <color theme="1"/>
        <rFont val="Arial"/>
        <family val="2"/>
        <charset val="204"/>
      </rPr>
      <t>пред</t>
    </r>
    <r>
      <rPr>
        <sz val="12"/>
        <color theme="1"/>
        <rFont val="Arial"/>
        <family val="2"/>
        <charset val="204"/>
      </rPr>
      <t>)
Если (E25</t>
    </r>
    <r>
      <rPr>
        <vertAlign val="subscript"/>
        <sz val="12"/>
        <color theme="1"/>
        <rFont val="Arial"/>
        <family val="2"/>
        <charset val="204"/>
      </rPr>
      <t>пред</t>
    </r>
    <r>
      <rPr>
        <sz val="12"/>
        <color theme="1"/>
        <rFont val="Arial"/>
        <family val="2"/>
        <charset val="204"/>
      </rPr>
      <t xml:space="preserve"> / (E14</t>
    </r>
    <r>
      <rPr>
        <vertAlign val="subscript"/>
        <sz val="12"/>
        <color theme="1"/>
        <rFont val="Arial"/>
        <family val="2"/>
        <charset val="204"/>
      </rPr>
      <t>пред</t>
    </r>
    <r>
      <rPr>
        <sz val="12"/>
        <color theme="1"/>
        <rFont val="Arial"/>
        <family val="2"/>
        <charset val="204"/>
      </rPr>
      <t>)) &gt; 1,1, то G11 = 1,1</t>
    </r>
  </si>
  <si>
    <t>Стартовое значение 2,25 уже рассчитано по этому соотношению</t>
  </si>
  <si>
    <r>
      <t>= линейной интерполяцией по Графику G-3 как функция от значения (G7</t>
    </r>
    <r>
      <rPr>
        <vertAlign val="subscript"/>
        <sz val="12"/>
        <color theme="1"/>
        <rFont val="Arial"/>
        <family val="2"/>
        <charset val="204"/>
      </rPr>
      <t>тек</t>
    </r>
    <r>
      <rPr>
        <sz val="12"/>
        <rFont val="Arial"/>
        <family val="2"/>
        <charset val="204"/>
      </rPr>
      <t xml:space="preserve"> * G11</t>
    </r>
    <r>
      <rPr>
        <vertAlign val="subscript"/>
        <sz val="12"/>
        <rFont val="Arial"/>
        <family val="2"/>
        <charset val="204"/>
      </rPr>
      <t>тек</t>
    </r>
    <r>
      <rPr>
        <sz val="12"/>
        <rFont val="Arial"/>
        <family val="2"/>
        <charset val="204"/>
      </rPr>
      <t>)</t>
    </r>
  </si>
  <si>
    <r>
      <t>= G6</t>
    </r>
    <r>
      <rPr>
        <vertAlign val="subscript"/>
        <sz val="12"/>
        <color theme="1"/>
        <rFont val="Arial"/>
        <family val="2"/>
        <charset val="204"/>
      </rPr>
      <t>тек</t>
    </r>
    <r>
      <rPr>
        <sz val="12"/>
        <color theme="1"/>
        <rFont val="Arial"/>
        <family val="2"/>
        <charset val="204"/>
      </rPr>
      <t xml:space="preserve"> / (P1</t>
    </r>
    <r>
      <rPr>
        <vertAlign val="subscript"/>
        <sz val="12"/>
        <color theme="1"/>
        <rFont val="Arial"/>
        <family val="2"/>
        <charset val="204"/>
      </rPr>
      <t>тек</t>
    </r>
    <r>
      <rPr>
        <sz val="12"/>
        <color theme="1"/>
        <rFont val="Arial"/>
        <family val="2"/>
        <charset val="204"/>
      </rPr>
      <t>)</t>
    </r>
  </si>
  <si>
    <r>
      <t>= линейной интерполяцией по Графику G-2 как функция от G9</t>
    </r>
    <r>
      <rPr>
        <vertAlign val="subscript"/>
        <sz val="12"/>
        <color theme="1"/>
        <rFont val="Arial"/>
        <family val="2"/>
        <charset val="204"/>
      </rPr>
      <t>тек</t>
    </r>
  </si>
  <si>
    <t>Плановое производство товаров (т.п.)</t>
  </si>
  <si>
    <t>Фактическое производство товаров (п.п.)</t>
  </si>
  <si>
    <r>
      <t>= 0,25 * P1</t>
    </r>
    <r>
      <rPr>
        <vertAlign val="subscript"/>
        <sz val="12"/>
        <color theme="1"/>
        <rFont val="Arial"/>
        <family val="2"/>
        <charset val="204"/>
      </rPr>
      <t>тек</t>
    </r>
    <r>
      <rPr>
        <sz val="12"/>
        <color theme="1"/>
        <rFont val="Arial"/>
        <family val="2"/>
        <charset val="204"/>
      </rPr>
      <t xml:space="preserve"> * 1,155 * G10</t>
    </r>
    <r>
      <rPr>
        <vertAlign val="subscript"/>
        <sz val="12"/>
        <color theme="1"/>
        <rFont val="Arial"/>
        <family val="2"/>
        <charset val="204"/>
      </rPr>
      <t>тек</t>
    </r>
    <r>
      <rPr>
        <sz val="12"/>
        <color theme="1"/>
        <rFont val="Arial"/>
        <family val="2"/>
        <charset val="204"/>
      </rPr>
      <t xml:space="preserve"> * G8</t>
    </r>
    <r>
      <rPr>
        <vertAlign val="subscript"/>
        <sz val="12"/>
        <color theme="1"/>
        <rFont val="Arial"/>
        <family val="2"/>
        <charset val="204"/>
      </rPr>
      <t>тек</t>
    </r>
    <r>
      <rPr>
        <sz val="12"/>
        <color theme="1"/>
        <rFont val="Arial"/>
        <family val="2"/>
        <charset val="204"/>
      </rPr>
      <t xml:space="preserve"> * 5 * 1</t>
    </r>
  </si>
  <si>
    <r>
      <t>= 0,25 * P1</t>
    </r>
    <r>
      <rPr>
        <vertAlign val="subscript"/>
        <sz val="12"/>
        <color theme="1"/>
        <rFont val="Arial"/>
        <family val="2"/>
        <charset val="204"/>
      </rPr>
      <t>тек</t>
    </r>
    <r>
      <rPr>
        <sz val="12"/>
        <color theme="1"/>
        <rFont val="Arial"/>
        <family val="2"/>
        <charset val="204"/>
      </rPr>
      <t xml:space="preserve"> * 1,155 * G10</t>
    </r>
    <r>
      <rPr>
        <vertAlign val="subscript"/>
        <sz val="12"/>
        <color theme="1"/>
        <rFont val="Arial"/>
        <family val="2"/>
        <charset val="204"/>
      </rPr>
      <t>тек</t>
    </r>
    <r>
      <rPr>
        <sz val="12"/>
        <color theme="1"/>
        <rFont val="Arial"/>
        <family val="2"/>
        <charset val="204"/>
      </rPr>
      <t xml:space="preserve"> * G8</t>
    </r>
    <r>
      <rPr>
        <vertAlign val="subscript"/>
        <sz val="12"/>
        <color theme="1"/>
        <rFont val="Arial"/>
        <family val="2"/>
        <charset val="204"/>
      </rPr>
      <t>тек</t>
    </r>
    <r>
      <rPr>
        <sz val="12"/>
        <color theme="1"/>
        <rFont val="Arial"/>
        <family val="2"/>
        <charset val="204"/>
      </rPr>
      <t xml:space="preserve"> * 5 * (линейной интерполяцией по графику G-1 как функция от отношения P6</t>
    </r>
    <r>
      <rPr>
        <vertAlign val="subscript"/>
        <sz val="12"/>
        <color theme="1"/>
        <rFont val="Arial"/>
        <family val="2"/>
        <charset val="204"/>
      </rPr>
      <t>тек</t>
    </r>
    <r>
      <rPr>
        <sz val="12"/>
        <color theme="1"/>
        <rFont val="Arial"/>
        <family val="2"/>
        <charset val="204"/>
      </rPr>
      <t>/P6</t>
    </r>
    <r>
      <rPr>
        <vertAlign val="subscript"/>
        <sz val="12"/>
        <color theme="1"/>
        <rFont val="Arial"/>
        <family val="2"/>
        <charset val="204"/>
      </rPr>
      <t>пред</t>
    </r>
    <r>
      <rPr>
        <sz val="12"/>
        <color theme="1"/>
        <rFont val="Arial"/>
        <family val="2"/>
        <charset val="204"/>
      </rPr>
      <t>)</t>
    </r>
  </si>
  <si>
    <t>G12 ≤ G15</t>
  </si>
  <si>
    <t>Фактическое пр-во товаров G12 всегда либо меньше, либо равно плановому пр-ву товаров G15.</t>
  </si>
  <si>
    <t>Коэффициент производительности труда от изменения в уровне потребления</t>
  </si>
  <si>
    <r>
      <t xml:space="preserve"> = TF11</t>
    </r>
    <r>
      <rPr>
        <vertAlign val="subscript"/>
        <sz val="12"/>
        <color theme="1"/>
        <rFont val="Arial"/>
        <family val="2"/>
        <charset val="204"/>
      </rPr>
      <t>пред</t>
    </r>
  </si>
  <si>
    <r>
      <t>Стартовое значение 0 задано в явном виде. В последующих периодах значение равно товарам на экспорт TF11</t>
    </r>
    <r>
      <rPr>
        <vertAlign val="subscript"/>
        <sz val="12"/>
        <color theme="1"/>
        <rFont val="Arial"/>
        <family val="2"/>
        <charset val="204"/>
      </rPr>
      <t xml:space="preserve">пред </t>
    </r>
    <r>
      <rPr>
        <sz val="12"/>
        <color theme="1"/>
        <rFont val="Arial"/>
        <family val="2"/>
        <charset val="204"/>
      </rPr>
      <t>из графы "Решение №6" Министра внешней торговли и финансов.</t>
    </r>
  </si>
  <si>
    <r>
      <t>= G12</t>
    </r>
    <r>
      <rPr>
        <vertAlign val="subscript"/>
        <sz val="12"/>
        <color theme="1"/>
        <rFont val="Arial"/>
        <family val="2"/>
        <charset val="204"/>
      </rPr>
      <t>тек</t>
    </r>
    <r>
      <rPr>
        <sz val="12"/>
        <color theme="1"/>
        <rFont val="Arial"/>
        <family val="2"/>
        <charset val="204"/>
      </rPr>
      <t xml:space="preserve"> + G14</t>
    </r>
    <r>
      <rPr>
        <vertAlign val="subscript"/>
        <sz val="12"/>
        <color theme="1"/>
        <rFont val="Arial"/>
        <family val="2"/>
        <charset val="204"/>
      </rPr>
      <t>тек</t>
    </r>
  </si>
  <si>
    <r>
      <t xml:space="preserve">Этого параметра в листах решений намеренно нет, но при любом росте потребления товаров населением он равен 1, а при любом снижении становится меньше 1 по графику G-1. В английском оригинале коэффициент называется MGC - </t>
    </r>
    <r>
      <rPr>
        <b/>
        <sz val="12"/>
        <color theme="1"/>
        <rFont val="Arial"/>
        <family val="2"/>
        <charset val="204"/>
      </rPr>
      <t>M</t>
    </r>
    <r>
      <rPr>
        <sz val="12"/>
        <color theme="1"/>
        <rFont val="Arial"/>
        <family val="2"/>
        <charset val="204"/>
      </rPr>
      <t xml:space="preserve">ultiplier of </t>
    </r>
    <r>
      <rPr>
        <b/>
        <sz val="12"/>
        <color theme="1"/>
        <rFont val="Arial"/>
        <family val="2"/>
        <charset val="204"/>
      </rPr>
      <t>G</t>
    </r>
    <r>
      <rPr>
        <sz val="12"/>
        <color theme="1"/>
        <rFont val="Arial"/>
        <family val="2"/>
        <charset val="204"/>
      </rPr>
      <t xml:space="preserve">oods </t>
    </r>
    <r>
      <rPr>
        <b/>
        <sz val="12"/>
        <color theme="1"/>
        <rFont val="Arial"/>
        <family val="2"/>
        <charset val="204"/>
      </rPr>
      <t>C</t>
    </r>
    <r>
      <rPr>
        <sz val="12"/>
        <color theme="1"/>
        <rFont val="Arial"/>
        <family val="2"/>
        <charset val="204"/>
      </rPr>
      <t>onsumption.</t>
    </r>
  </si>
  <si>
    <r>
      <t>Коэффициент производительности труда от потребления товаров, определяемый линейной интерполяцией по графику G-1 как функция от отношения P6</t>
    </r>
    <r>
      <rPr>
        <vertAlign val="subscript"/>
        <sz val="12"/>
        <color theme="1"/>
        <rFont val="Arial"/>
        <family val="2"/>
        <charset val="204"/>
      </rPr>
      <t>тек</t>
    </r>
    <r>
      <rPr>
        <sz val="12"/>
        <color theme="1"/>
        <rFont val="Arial"/>
        <family val="2"/>
        <charset val="204"/>
      </rPr>
      <t>/P6</t>
    </r>
    <r>
      <rPr>
        <vertAlign val="subscript"/>
        <sz val="12"/>
        <color theme="1"/>
        <rFont val="Arial"/>
        <family val="2"/>
        <charset val="204"/>
      </rPr>
      <t>пред</t>
    </r>
    <r>
      <rPr>
        <sz val="12"/>
        <color theme="1"/>
        <rFont val="Arial"/>
        <family val="2"/>
        <charset val="204"/>
      </rPr>
      <t>, не может превышать 1</t>
    </r>
  </si>
  <si>
    <r>
      <t xml:space="preserve">Пр-ть труда в промышленности зависит от  отношения активного основного капитала для пр-ва товаров (основной капитал G3 * коэффициент использования капитала G11) к величине рабочей силы в промышленности (0,25 * P1). Стартовое значение 5 задано в явном виде. В английском оригинале коэффициент называется </t>
    </r>
    <r>
      <rPr>
        <b/>
        <sz val="12"/>
        <color theme="1"/>
        <rFont val="Arial"/>
        <family val="2"/>
        <charset val="204"/>
      </rPr>
      <t>M</t>
    </r>
    <r>
      <rPr>
        <sz val="12"/>
        <color theme="1"/>
        <rFont val="Arial"/>
        <family val="2"/>
        <charset val="204"/>
      </rPr>
      <t xml:space="preserve">ultiplier of </t>
    </r>
    <r>
      <rPr>
        <b/>
        <sz val="12"/>
        <color theme="1"/>
        <rFont val="Arial"/>
        <family val="2"/>
        <charset val="204"/>
      </rPr>
      <t>G</t>
    </r>
    <r>
      <rPr>
        <sz val="12"/>
        <color theme="1"/>
        <rFont val="Arial"/>
        <family val="2"/>
        <charset val="204"/>
      </rPr>
      <t xml:space="preserve">oods </t>
    </r>
    <r>
      <rPr>
        <b/>
        <sz val="12"/>
        <color theme="1"/>
        <rFont val="Arial"/>
        <family val="2"/>
        <charset val="204"/>
      </rPr>
      <t>P</t>
    </r>
    <r>
      <rPr>
        <sz val="12"/>
        <color theme="1"/>
        <rFont val="Arial"/>
        <family val="2"/>
        <charset val="204"/>
      </rPr>
      <t>roduction (MGP)</t>
    </r>
  </si>
  <si>
    <r>
      <t xml:space="preserve">Рассчитывается как произведение рабочей силы (0,25*P1), нормы производительности труда (постоянная величина 1,155), коэффициента производительности труда от услуг на душу населения G10, коэффициента производительности труда от акт. капитала на 1 рабочего G8 и коэффициента производительности труда от потребления товаров (этого параметра в листах решений намеренно нет. В английском оригинале коэффициент называется MGC - </t>
    </r>
    <r>
      <rPr>
        <b/>
        <sz val="12"/>
        <color theme="1"/>
        <rFont val="Arial"/>
        <family val="2"/>
        <charset val="204"/>
      </rPr>
      <t>M</t>
    </r>
    <r>
      <rPr>
        <sz val="12"/>
        <color theme="1"/>
        <rFont val="Arial"/>
        <family val="2"/>
        <charset val="204"/>
      </rPr>
      <t xml:space="preserve">ultiplier of </t>
    </r>
    <r>
      <rPr>
        <b/>
        <sz val="12"/>
        <color theme="1"/>
        <rFont val="Arial"/>
        <family val="2"/>
        <charset val="204"/>
      </rPr>
      <t>G</t>
    </r>
    <r>
      <rPr>
        <sz val="12"/>
        <color theme="1"/>
        <rFont val="Arial"/>
        <family val="2"/>
        <charset val="204"/>
      </rPr>
      <t xml:space="preserve">oods </t>
    </r>
    <r>
      <rPr>
        <b/>
        <sz val="12"/>
        <color theme="1"/>
        <rFont val="Arial"/>
        <family val="2"/>
        <charset val="204"/>
      </rPr>
      <t>C</t>
    </r>
    <r>
      <rPr>
        <sz val="12"/>
        <color theme="1"/>
        <rFont val="Arial"/>
        <family val="2"/>
        <charset val="204"/>
      </rPr>
      <t>onsumption). Стартовая величина в год 620 получена по этой методике (округление 615 до десятков). Домножение на 5 - чтобы получить значение за период (стартовое значение за период 3100)</t>
    </r>
  </si>
  <si>
    <t>Выбытие природоохранного капитала (в конце периода)</t>
  </si>
  <si>
    <t>Новый природоохранный капитал (т.п.)</t>
  </si>
  <si>
    <t>Основной природоохранный капитал (т.п.)</t>
  </si>
  <si>
    <t>E3 = E1 + E2</t>
  </si>
  <si>
    <t>E6 = E4 + E5</t>
  </si>
  <si>
    <t>Основные капиталы представляют собой сумму того, что будет выбывать в конце периода, и того, что останется. Это не расчетная формула, а проверочное соотношение.</t>
  </si>
  <si>
    <t>См. соответствие значений в листах решений разных министров</t>
  </si>
  <si>
    <t>G3 = G1 + G2</t>
  </si>
  <si>
    <t>G6 = G4 + G5</t>
  </si>
  <si>
    <t>Состояние окружающей среды (т.п.)</t>
  </si>
  <si>
    <t>Основной с/х капитал (т.п.)</t>
  </si>
  <si>
    <t>Выбытие с/х капитала (в конце периода)</t>
  </si>
  <si>
    <t>Новый с/х капитал (т.п.)</t>
  </si>
  <si>
    <t>Отношение капитала с/х к площади с/х угодий (т.п.)</t>
  </si>
  <si>
    <t>Плановое пр-во продовольствия (т.п.)</t>
  </si>
  <si>
    <t>Коэффициент использования с/х капитала (п.п.)</t>
  </si>
  <si>
    <t>Коэффициент использования пром. капитала (п.п.)</t>
  </si>
  <si>
    <t>Производство продовольствия (п.п)</t>
  </si>
  <si>
    <t>Экспорт продовольствия (п.п.)</t>
  </si>
  <si>
    <t>Импорт продовольствия (п.п.)</t>
  </si>
  <si>
    <t>Капиталовложения в пр-во продовольствия</t>
  </si>
  <si>
    <t>Капиталовложения в защиту окружающей среды</t>
  </si>
  <si>
    <t>F3 = F1 + F2</t>
  </si>
  <si>
    <t>F6 = F4 + F5</t>
  </si>
  <si>
    <r>
      <t xml:space="preserve">Этого параметра в листах решений намеренно нет, но при любом росте потребления продовольствия населением он равен 1, а при любом снижении становится меньше 1 по графику F-1. В английском оригинале коэффициент называется MFC - </t>
    </r>
    <r>
      <rPr>
        <b/>
        <sz val="12"/>
        <color theme="1"/>
        <rFont val="Arial"/>
        <family val="2"/>
        <charset val="204"/>
      </rPr>
      <t>M</t>
    </r>
    <r>
      <rPr>
        <sz val="12"/>
        <color theme="1"/>
        <rFont val="Arial"/>
        <family val="2"/>
        <charset val="204"/>
      </rPr>
      <t xml:space="preserve">ultiplier of </t>
    </r>
    <r>
      <rPr>
        <b/>
        <sz val="12"/>
        <color theme="1"/>
        <rFont val="Arial"/>
        <family val="2"/>
        <charset val="204"/>
      </rPr>
      <t>F</t>
    </r>
    <r>
      <rPr>
        <sz val="12"/>
        <color theme="1"/>
        <rFont val="Arial"/>
        <family val="2"/>
        <charset val="204"/>
      </rPr>
      <t xml:space="preserve">ood </t>
    </r>
    <r>
      <rPr>
        <b/>
        <sz val="12"/>
        <color theme="1"/>
        <rFont val="Arial"/>
        <family val="2"/>
        <charset val="204"/>
      </rPr>
      <t>C</t>
    </r>
    <r>
      <rPr>
        <sz val="12"/>
        <color theme="1"/>
        <rFont val="Arial"/>
        <family val="2"/>
        <charset val="204"/>
      </rPr>
      <t>onsumption.</t>
    </r>
  </si>
  <si>
    <r>
      <t>= F3</t>
    </r>
    <r>
      <rPr>
        <vertAlign val="subscript"/>
        <sz val="12"/>
        <color theme="1"/>
        <rFont val="Arial"/>
        <family val="2"/>
        <charset val="204"/>
      </rPr>
      <t xml:space="preserve">тек </t>
    </r>
    <r>
      <rPr>
        <sz val="12"/>
        <color theme="1"/>
        <rFont val="Arial"/>
        <family val="2"/>
        <charset val="204"/>
      </rPr>
      <t>/ 5</t>
    </r>
  </si>
  <si>
    <t>Сначала рассчитывается текущий основной капитал для пр-ва продовольствия F3. В конце периода 1/5 часть от него будет выбывать (срок жизни капитала 25 лет)</t>
  </si>
  <si>
    <r>
      <t>= F3</t>
    </r>
    <r>
      <rPr>
        <vertAlign val="subscript"/>
        <sz val="12"/>
        <color theme="1"/>
        <rFont val="Arial"/>
        <family val="2"/>
        <charset val="204"/>
      </rPr>
      <t>тек</t>
    </r>
    <r>
      <rPr>
        <sz val="12"/>
        <color theme="1"/>
        <rFont val="Arial"/>
        <family val="2"/>
        <charset val="204"/>
      </rPr>
      <t xml:space="preserve"> * 4 / 5 </t>
    </r>
  </si>
  <si>
    <t>Сначала рассчитывается текущий основной капитал для пр-ва продовольствия F3. В конце периода от него останется 4/5 часть</t>
  </si>
  <si>
    <r>
      <t>= F3</t>
    </r>
    <r>
      <rPr>
        <vertAlign val="subscript"/>
        <sz val="12"/>
        <color theme="1"/>
        <rFont val="Arial"/>
        <family val="2"/>
        <charset val="204"/>
      </rPr>
      <t>пред</t>
    </r>
    <r>
      <rPr>
        <sz val="12"/>
        <color theme="1"/>
        <rFont val="Arial"/>
        <family val="2"/>
        <charset val="204"/>
      </rPr>
      <t xml:space="preserve"> - F1</t>
    </r>
    <r>
      <rPr>
        <vertAlign val="subscript"/>
        <sz val="12"/>
        <color theme="1"/>
        <rFont val="Arial"/>
        <family val="2"/>
        <charset val="204"/>
      </rPr>
      <t>пред</t>
    </r>
    <r>
      <rPr>
        <sz val="12"/>
        <color theme="1"/>
        <rFont val="Arial"/>
        <family val="2"/>
        <charset val="204"/>
      </rPr>
      <t xml:space="preserve"> + F14</t>
    </r>
    <r>
      <rPr>
        <vertAlign val="subscript"/>
        <sz val="12"/>
        <color theme="1"/>
        <rFont val="Arial"/>
        <family val="2"/>
        <charset val="204"/>
      </rPr>
      <t>пред</t>
    </r>
    <r>
      <rPr>
        <sz val="12"/>
        <color theme="1"/>
        <rFont val="Arial"/>
        <family val="2"/>
        <charset val="204"/>
      </rPr>
      <t xml:space="preserve"> = F2</t>
    </r>
    <r>
      <rPr>
        <vertAlign val="subscript"/>
        <sz val="12"/>
        <color theme="1"/>
        <rFont val="Arial"/>
        <family val="2"/>
        <charset val="204"/>
      </rPr>
      <t>пред</t>
    </r>
    <r>
      <rPr>
        <sz val="12"/>
        <color theme="1"/>
        <rFont val="Arial"/>
        <family val="2"/>
        <charset val="204"/>
      </rPr>
      <t xml:space="preserve"> + F14</t>
    </r>
    <r>
      <rPr>
        <vertAlign val="subscript"/>
        <sz val="12"/>
        <color theme="1"/>
        <rFont val="Arial"/>
        <family val="2"/>
        <charset val="204"/>
      </rPr>
      <t>пред</t>
    </r>
  </si>
  <si>
    <t>Основной капитал для пр-ва продовольствия на текущий период рассчитывается как основной капитал F3 предыдущего периода за вычетом выбывающего капитала F1 + капиталовложения в пр-во продовольствия F14 по решению Министра с/х и окружающей среды</t>
  </si>
  <si>
    <t>Основной природоохранный капитал на текущий период рассчитывается как основной капитал F6 предыдущего периода за вычетом выбывающего капитала F4 + капиталовложения в защиту окружающей среды F15 по решению Министра с/х и окружающей среды</t>
  </si>
  <si>
    <r>
      <t>= F6</t>
    </r>
    <r>
      <rPr>
        <vertAlign val="subscript"/>
        <sz val="12"/>
        <color theme="1"/>
        <rFont val="Arial"/>
        <family val="2"/>
        <charset val="204"/>
      </rPr>
      <t>пред</t>
    </r>
    <r>
      <rPr>
        <sz val="12"/>
        <color theme="1"/>
        <rFont val="Arial"/>
        <family val="2"/>
        <charset val="204"/>
      </rPr>
      <t xml:space="preserve"> - F4</t>
    </r>
    <r>
      <rPr>
        <vertAlign val="subscript"/>
        <sz val="12"/>
        <color theme="1"/>
        <rFont val="Arial"/>
        <family val="2"/>
        <charset val="204"/>
      </rPr>
      <t>пред</t>
    </r>
    <r>
      <rPr>
        <sz val="12"/>
        <color theme="1"/>
        <rFont val="Arial"/>
        <family val="2"/>
        <charset val="204"/>
      </rPr>
      <t xml:space="preserve"> + F15</t>
    </r>
    <r>
      <rPr>
        <vertAlign val="subscript"/>
        <sz val="12"/>
        <color theme="1"/>
        <rFont val="Arial"/>
        <family val="2"/>
        <charset val="204"/>
      </rPr>
      <t>пред</t>
    </r>
    <r>
      <rPr>
        <sz val="12"/>
        <color theme="1"/>
        <rFont val="Arial"/>
        <family val="2"/>
        <charset val="204"/>
      </rPr>
      <t xml:space="preserve"> = F5</t>
    </r>
    <r>
      <rPr>
        <vertAlign val="subscript"/>
        <sz val="12"/>
        <color theme="1"/>
        <rFont val="Arial"/>
        <family val="2"/>
        <charset val="204"/>
      </rPr>
      <t>пред</t>
    </r>
    <r>
      <rPr>
        <sz val="12"/>
        <color theme="1"/>
        <rFont val="Arial"/>
        <family val="2"/>
        <charset val="204"/>
      </rPr>
      <t xml:space="preserve"> + F15</t>
    </r>
    <r>
      <rPr>
        <vertAlign val="subscript"/>
        <sz val="12"/>
        <color theme="1"/>
        <rFont val="Arial"/>
        <family val="2"/>
        <charset val="204"/>
      </rPr>
      <t>пред</t>
    </r>
  </si>
  <si>
    <t>Сначала рассчитывается текущий основной природоохранный капитал F6. В конце периода 1/6 часть от него будет выбывать (срок жизни капитала 30 лет)</t>
  </si>
  <si>
    <t>Сначала рассчитывается текущий основной природоохранный капитал F6. В конце периода от него останется 5/6 часть</t>
  </si>
  <si>
    <r>
      <t>= F6</t>
    </r>
    <r>
      <rPr>
        <vertAlign val="subscript"/>
        <sz val="12"/>
        <color theme="1"/>
        <rFont val="Arial"/>
        <family val="2"/>
        <charset val="204"/>
      </rPr>
      <t xml:space="preserve">пред </t>
    </r>
    <r>
      <rPr>
        <sz val="12"/>
        <color theme="1"/>
        <rFont val="Arial"/>
        <family val="2"/>
        <charset val="204"/>
      </rPr>
      <t>/ 6</t>
    </r>
  </si>
  <si>
    <r>
      <t>= F6</t>
    </r>
    <r>
      <rPr>
        <vertAlign val="subscript"/>
        <sz val="12"/>
        <color theme="1"/>
        <rFont val="Arial"/>
        <family val="2"/>
        <charset val="204"/>
      </rPr>
      <t>пред</t>
    </r>
    <r>
      <rPr>
        <sz val="12"/>
        <color theme="1"/>
        <rFont val="Arial"/>
        <family val="2"/>
        <charset val="204"/>
      </rPr>
      <t xml:space="preserve"> * 5 / 6</t>
    </r>
  </si>
  <si>
    <r>
      <t>Отношение энергоресурсов E24, выделенных для пр-ва продовольствия решением Министра энергетики, к потребности E12 в энергоресурсах для пр-ва продовольствия. Изменяется от 0 до 1,1. Энергоресурсы, выделенные сверх 110% от потребностей, теряются. Превышение потребностей в диапазоне ]100%;110%] увеличивает выпуск товаров пропорционально превышению. Стартовое значение 1 задано в явном виде, последующие рассчитываются через E24</t>
    </r>
    <r>
      <rPr>
        <vertAlign val="subscript"/>
        <sz val="12"/>
        <color theme="1"/>
        <rFont val="Arial"/>
        <family val="2"/>
        <charset val="204"/>
      </rPr>
      <t>пред</t>
    </r>
    <r>
      <rPr>
        <sz val="12"/>
        <color theme="1"/>
        <rFont val="Arial"/>
        <family val="2"/>
        <charset val="204"/>
      </rPr>
      <t xml:space="preserve"> и E12</t>
    </r>
    <r>
      <rPr>
        <vertAlign val="subscript"/>
        <sz val="12"/>
        <color theme="1"/>
        <rFont val="Arial"/>
        <family val="2"/>
        <charset val="204"/>
      </rPr>
      <t>пред</t>
    </r>
  </si>
  <si>
    <t>Отношение потребления продовольствия на душу населения в текущем периоде к прошлому периоду</t>
  </si>
  <si>
    <t>Отношение потребления товаров на душу наслеения в текущем периоде к прошлому периоду</t>
  </si>
  <si>
    <t>Коэффициент производительности труда в с/х от изменения в уровне питания</t>
  </si>
  <si>
    <t>Figure F-2: Multiplier on food production as a function of the active food production capital per unit of area (MFP).</t>
  </si>
  <si>
    <t>Отношение активного с/х капитала к площади с/х угодий</t>
  </si>
  <si>
    <t>Коэффициент производительности труда в с/х от активного с/х капитала на единицу площади угодий</t>
  </si>
  <si>
    <t>График G-2. Зависимость коэффициента производительности труда от капитала сферы услуг на душу населения.</t>
  </si>
  <si>
    <t>График G-1. Зависимость коэффициента производительности труда от изменения материального уровня жизни.</t>
  </si>
  <si>
    <t>График G-3. Зависимость коэффициента производительности труда от величины активного производительного капитала на 1 рабочего.</t>
  </si>
  <si>
    <t>График F-1. Зависимость коэффициента пр-ти труда в с/х от изменения уровня питания населения.</t>
  </si>
  <si>
    <t>График F-2. Зависимость коэффициента пр-ти труда в с/х от отношения активного с/х капитала к площади с/х угодий.</t>
  </si>
  <si>
    <t>(безразмерная величина)</t>
  </si>
  <si>
    <t>Восстановление окружающей среды за год в %</t>
  </si>
  <si>
    <r>
      <t>= E21</t>
    </r>
    <r>
      <rPr>
        <vertAlign val="subscript"/>
        <sz val="12"/>
        <rFont val="Arial"/>
        <family val="2"/>
        <charset val="204"/>
      </rPr>
      <t xml:space="preserve">пред </t>
    </r>
    <r>
      <rPr>
        <sz val="12"/>
        <color theme="1"/>
        <rFont val="Arial"/>
        <family val="2"/>
        <charset val="204"/>
      </rPr>
      <t/>
    </r>
  </si>
  <si>
    <t>График F-3. Увеличение загрязнения окружающей среды за год в % в зависимости от суммарного некомпенсированного капитала в энергетике, пр-ве продовольствия и товаров.</t>
  </si>
  <si>
    <t>Увеличение загрязнения окружающей среды за год в %</t>
  </si>
  <si>
    <r>
      <t>= F7</t>
    </r>
    <r>
      <rPr>
        <vertAlign val="subscript"/>
        <sz val="12"/>
        <color theme="1"/>
        <rFont val="Arial"/>
        <family val="2"/>
        <charset val="204"/>
      </rPr>
      <t>пред</t>
    </r>
    <r>
      <rPr>
        <sz val="12"/>
        <color theme="1"/>
        <rFont val="Arial"/>
        <family val="2"/>
        <charset val="204"/>
      </rPr>
      <t xml:space="preserve"> + (линейной интерполяцией по графику F-4 как функция от F7</t>
    </r>
    <r>
      <rPr>
        <vertAlign val="subscript"/>
        <sz val="12"/>
        <color theme="1"/>
        <rFont val="Arial"/>
        <family val="2"/>
        <charset val="204"/>
      </rPr>
      <t>пред</t>
    </r>
    <r>
      <rPr>
        <sz val="12"/>
        <color theme="1"/>
        <rFont val="Arial"/>
        <family val="2"/>
        <charset val="204"/>
      </rPr>
      <t>) - (линейной интерполяцией по графику F-3 как функция от значения ((F3</t>
    </r>
    <r>
      <rPr>
        <vertAlign val="subscript"/>
        <sz val="12"/>
        <color theme="1"/>
        <rFont val="Arial"/>
        <family val="2"/>
        <charset val="204"/>
      </rPr>
      <t>пред</t>
    </r>
    <r>
      <rPr>
        <sz val="12"/>
        <color theme="1"/>
        <rFont val="Arial"/>
        <family val="2"/>
        <charset val="204"/>
      </rPr>
      <t xml:space="preserve"> * F10</t>
    </r>
    <r>
      <rPr>
        <vertAlign val="subscript"/>
        <sz val="12"/>
        <color theme="1"/>
        <rFont val="Arial"/>
        <family val="2"/>
        <charset val="204"/>
      </rPr>
      <t>пред</t>
    </r>
    <r>
      <rPr>
        <sz val="12"/>
        <color theme="1"/>
        <rFont val="Arial"/>
        <family val="2"/>
        <charset val="204"/>
      </rPr>
      <t xml:space="preserve"> + G3</t>
    </r>
    <r>
      <rPr>
        <vertAlign val="subscript"/>
        <sz val="12"/>
        <color theme="1"/>
        <rFont val="Arial"/>
        <family val="2"/>
        <charset val="204"/>
      </rPr>
      <t>пред</t>
    </r>
    <r>
      <rPr>
        <sz val="12"/>
        <color theme="1"/>
        <rFont val="Arial"/>
        <family val="2"/>
        <charset val="204"/>
      </rPr>
      <t xml:space="preserve"> * G11</t>
    </r>
    <r>
      <rPr>
        <vertAlign val="subscript"/>
        <sz val="12"/>
        <color theme="1"/>
        <rFont val="Arial"/>
        <family val="2"/>
        <charset val="204"/>
      </rPr>
      <t>пред</t>
    </r>
    <r>
      <rPr>
        <sz val="12"/>
        <color theme="1"/>
        <rFont val="Arial"/>
        <family val="2"/>
        <charset val="204"/>
      </rPr>
      <t xml:space="preserve"> + E3</t>
    </r>
    <r>
      <rPr>
        <vertAlign val="subscript"/>
        <sz val="12"/>
        <color theme="1"/>
        <rFont val="Arial"/>
        <family val="2"/>
        <charset val="204"/>
      </rPr>
      <t>пред</t>
    </r>
    <r>
      <rPr>
        <sz val="12"/>
        <color theme="1"/>
        <rFont val="Arial"/>
        <family val="2"/>
        <charset val="204"/>
      </rPr>
      <t xml:space="preserve"> - 3 * F6</t>
    </r>
    <r>
      <rPr>
        <vertAlign val="subscript"/>
        <sz val="12"/>
        <color theme="1"/>
        <rFont val="Arial"/>
        <family val="2"/>
        <charset val="204"/>
      </rPr>
      <t>пред</t>
    </r>
    <r>
      <rPr>
        <sz val="12"/>
        <color theme="1"/>
        <rFont val="Arial"/>
        <family val="2"/>
        <charset val="204"/>
      </rPr>
      <t>) / 20000))</t>
    </r>
  </si>
  <si>
    <r>
      <t xml:space="preserve">Figure F-3: Annual percentage of environmental degeneration as a function of the sum of differences of active capital (E, F, G) and environmental protection capital, scaled </t>
    </r>
    <r>
      <rPr>
        <sz val="12"/>
        <rFont val="Arial"/>
        <family val="2"/>
        <charset val="204"/>
      </rPr>
      <t>to 20000</t>
    </r>
    <r>
      <rPr>
        <sz val="12"/>
        <color theme="1"/>
        <rFont val="Arial"/>
        <family val="2"/>
        <charset val="204"/>
      </rPr>
      <t>.</t>
    </r>
  </si>
  <si>
    <r>
      <t xml:space="preserve">Суммарный некомпенсированный капитал в энергетике, пр-ве товаров и продовольствия / </t>
    </r>
    <r>
      <rPr>
        <sz val="11"/>
        <rFont val="Arial"/>
        <family val="2"/>
        <charset val="204"/>
      </rPr>
      <t>20 000</t>
    </r>
  </si>
  <si>
    <t>Figure F-4: Annual percentage of environmental regeneration capacity as a function of the quality of the environment.</t>
  </si>
  <si>
    <t>График F-1. Способность окружающей среды к самовосстановлению в зависимости от ее текущего состояния.</t>
  </si>
  <si>
    <r>
      <t>= F3</t>
    </r>
    <r>
      <rPr>
        <vertAlign val="subscript"/>
        <sz val="12"/>
        <color theme="1"/>
        <rFont val="Arial"/>
        <family val="2"/>
        <charset val="204"/>
      </rPr>
      <t>тек</t>
    </r>
    <r>
      <rPr>
        <sz val="12"/>
        <color theme="1"/>
        <rFont val="Arial"/>
        <family val="2"/>
        <charset val="204"/>
      </rPr>
      <t xml:space="preserve"> / 1000</t>
    </r>
  </si>
  <si>
    <t>Площадь с/х угодий постоянна и равна 1000 га. Стартовое значение уже рассчитано по указанной методике</t>
  </si>
  <si>
    <r>
      <t xml:space="preserve"> = TF12</t>
    </r>
    <r>
      <rPr>
        <vertAlign val="subscript"/>
        <sz val="12"/>
        <color theme="1"/>
        <rFont val="Arial"/>
        <family val="2"/>
        <charset val="204"/>
      </rPr>
      <t>пред</t>
    </r>
  </si>
  <si>
    <r>
      <t>Стартовое значение 1550 задано в явном виде. В последующих периодах значение равно товарам на экспорт TF12</t>
    </r>
    <r>
      <rPr>
        <vertAlign val="subscript"/>
        <sz val="12"/>
        <color theme="1"/>
        <rFont val="Arial"/>
        <family val="2"/>
        <charset val="204"/>
      </rPr>
      <t xml:space="preserve">пред </t>
    </r>
    <r>
      <rPr>
        <sz val="12"/>
        <color theme="1"/>
        <rFont val="Arial"/>
        <family val="2"/>
        <charset val="204"/>
      </rPr>
      <t>из графы "Решение №6" Министра внешней торговли и финансов.</t>
    </r>
  </si>
  <si>
    <r>
      <t>= 6250 * (линейной интерполяцией по графику F-2 как функция от значения (F3</t>
    </r>
    <r>
      <rPr>
        <vertAlign val="subscript"/>
        <sz val="12"/>
        <color theme="1"/>
        <rFont val="Arial"/>
        <family val="2"/>
        <charset val="204"/>
      </rPr>
      <t>тек</t>
    </r>
    <r>
      <rPr>
        <sz val="12"/>
        <color theme="1"/>
        <rFont val="Arial"/>
        <family val="2"/>
        <charset val="204"/>
      </rPr>
      <t xml:space="preserve"> * F10</t>
    </r>
    <r>
      <rPr>
        <vertAlign val="subscript"/>
        <sz val="12"/>
        <color theme="1"/>
        <rFont val="Arial"/>
        <family val="2"/>
        <charset val="204"/>
      </rPr>
      <t>тек</t>
    </r>
    <r>
      <rPr>
        <sz val="12"/>
        <color theme="1"/>
        <rFont val="Arial"/>
        <family val="2"/>
        <charset val="204"/>
      </rPr>
      <t xml:space="preserve"> / 1000)) * F7</t>
    </r>
    <r>
      <rPr>
        <vertAlign val="subscript"/>
        <sz val="12"/>
        <color theme="1"/>
        <rFont val="Arial"/>
        <family val="2"/>
        <charset val="204"/>
      </rPr>
      <t>тек</t>
    </r>
    <r>
      <rPr>
        <sz val="12"/>
        <color theme="1"/>
        <rFont val="Arial"/>
        <family val="2"/>
        <charset val="204"/>
      </rPr>
      <t xml:space="preserve"> * 1</t>
    </r>
  </si>
  <si>
    <t>Figure F-1: Multiplier on food production as a function of the ratio of food consumption this cycle to the last cycle (MFC).</t>
  </si>
  <si>
    <r>
      <t>= 6250 * (линейной интерполяцией по графику F-2 как функция от значения (F3</t>
    </r>
    <r>
      <rPr>
        <vertAlign val="subscript"/>
        <sz val="12"/>
        <color theme="1"/>
        <rFont val="Arial"/>
        <family val="2"/>
        <charset val="204"/>
      </rPr>
      <t>тек</t>
    </r>
    <r>
      <rPr>
        <sz val="12"/>
        <color theme="1"/>
        <rFont val="Arial"/>
        <family val="2"/>
        <charset val="204"/>
      </rPr>
      <t xml:space="preserve"> * F10</t>
    </r>
    <r>
      <rPr>
        <vertAlign val="subscript"/>
        <sz val="12"/>
        <color theme="1"/>
        <rFont val="Arial"/>
        <family val="2"/>
        <charset val="204"/>
      </rPr>
      <t>тек</t>
    </r>
    <r>
      <rPr>
        <sz val="12"/>
        <color theme="1"/>
        <rFont val="Arial"/>
        <family val="2"/>
        <charset val="204"/>
      </rPr>
      <t xml:space="preserve"> / 1000)) * F7</t>
    </r>
    <r>
      <rPr>
        <vertAlign val="subscript"/>
        <sz val="12"/>
        <color theme="1"/>
        <rFont val="Arial"/>
        <family val="2"/>
        <charset val="204"/>
      </rPr>
      <t>тек</t>
    </r>
    <r>
      <rPr>
        <sz val="12"/>
        <color theme="1"/>
        <rFont val="Arial"/>
        <family val="2"/>
        <charset val="204"/>
      </rPr>
      <t xml:space="preserve"> * (линейной интерполяцией по графику F-1 как функция от отношения (P4</t>
    </r>
    <r>
      <rPr>
        <vertAlign val="subscript"/>
        <sz val="12"/>
        <color theme="1"/>
        <rFont val="Arial"/>
        <family val="2"/>
        <charset val="204"/>
      </rPr>
      <t>тек</t>
    </r>
    <r>
      <rPr>
        <sz val="12"/>
        <color theme="1"/>
        <rFont val="Arial"/>
        <family val="2"/>
        <charset val="204"/>
      </rPr>
      <t>/P4</t>
    </r>
    <r>
      <rPr>
        <vertAlign val="subscript"/>
        <sz val="12"/>
        <color theme="1"/>
        <rFont val="Arial"/>
        <family val="2"/>
        <charset val="204"/>
      </rPr>
      <t>пред</t>
    </r>
    <r>
      <rPr>
        <sz val="12"/>
        <color theme="1"/>
        <rFont val="Arial"/>
        <family val="2"/>
        <charset val="204"/>
      </rPr>
      <t xml:space="preserve">) </t>
    </r>
  </si>
  <si>
    <r>
      <t>Коэффициент 6250 получен как произведение площади с/х угодий (1000), нормы урожайности (постоянная величина 1,25) на 5 лет. Далее умножение на коэффициент пр-ти труда в с/х от отношения активного с/х капитала к площади с/х угодий (по графику F-2, коэф. MFP (</t>
    </r>
    <r>
      <rPr>
        <b/>
        <sz val="12"/>
        <color theme="1"/>
        <rFont val="Arial"/>
        <family val="2"/>
        <charset val="204"/>
      </rPr>
      <t>M</t>
    </r>
    <r>
      <rPr>
        <sz val="12"/>
        <color theme="1"/>
        <rFont val="Arial"/>
        <family val="2"/>
        <charset val="204"/>
      </rPr>
      <t xml:space="preserve">ultiplier of </t>
    </r>
    <r>
      <rPr>
        <b/>
        <sz val="12"/>
        <color theme="1"/>
        <rFont val="Arial"/>
        <family val="2"/>
        <charset val="204"/>
      </rPr>
      <t>F</t>
    </r>
    <r>
      <rPr>
        <sz val="12"/>
        <color theme="1"/>
        <rFont val="Arial"/>
        <family val="2"/>
        <charset val="204"/>
      </rPr>
      <t xml:space="preserve">ood </t>
    </r>
    <r>
      <rPr>
        <b/>
        <sz val="12"/>
        <color theme="1"/>
        <rFont val="Arial"/>
        <family val="2"/>
        <charset val="204"/>
      </rPr>
      <t>P</t>
    </r>
    <r>
      <rPr>
        <sz val="12"/>
        <color theme="1"/>
        <rFont val="Arial"/>
        <family val="2"/>
        <charset val="204"/>
      </rPr>
      <t>roduction)), на состояние окружающей среды F7 и на коэффициент пр-ти труда в с/х от изменения уровня питания населения (по графику  F-1, коэф. MFC (</t>
    </r>
    <r>
      <rPr>
        <b/>
        <sz val="12"/>
        <color theme="1"/>
        <rFont val="Arial"/>
        <family val="2"/>
        <charset val="204"/>
      </rPr>
      <t>M</t>
    </r>
    <r>
      <rPr>
        <sz val="12"/>
        <color theme="1"/>
        <rFont val="Arial"/>
        <family val="2"/>
        <charset val="204"/>
      </rPr>
      <t xml:space="preserve">ultiplier of </t>
    </r>
    <r>
      <rPr>
        <b/>
        <sz val="12"/>
        <color theme="1"/>
        <rFont val="Arial"/>
        <family val="2"/>
        <charset val="204"/>
      </rPr>
      <t>F</t>
    </r>
    <r>
      <rPr>
        <sz val="12"/>
        <color theme="1"/>
        <rFont val="Arial"/>
        <family val="2"/>
        <charset val="204"/>
      </rPr>
      <t xml:space="preserve">ood </t>
    </r>
    <r>
      <rPr>
        <b/>
        <sz val="12"/>
        <color theme="1"/>
        <rFont val="Arial"/>
        <family val="2"/>
        <charset val="204"/>
      </rPr>
      <t>C</t>
    </r>
    <r>
      <rPr>
        <sz val="12"/>
        <color theme="1"/>
        <rFont val="Arial"/>
        <family val="2"/>
        <charset val="204"/>
      </rPr>
      <t>onsumption)).
Коэффициентов в листах решений намеренно нет, их получают только по графикам. Стартовое значение 3300 задано в явном виде, последующие рассчитываются по формуле</t>
    </r>
  </si>
  <si>
    <t>Производство продовольствия при 100%-ном обеспечении с/х энергоресурсами. Вместо коэффициента производительности труда от потребления продовольствия (который может быть меньше единицы, если уровень питания ухудшается) в формуле всегда берется 1 - в этом отличие планового производства продовольствия F9 от фактического F11</t>
  </si>
  <si>
    <t>Коэффициент производительности труда в с/х от отношения активного с/х капитала к площади с/х угодий, определяемый линейной интерполяцией по графику F-2, не может превышать 5</t>
  </si>
  <si>
    <r>
      <t>Этого параметра в листах решений намеренно нет. В английском оригинале коэффициент называется MFP (</t>
    </r>
    <r>
      <rPr>
        <b/>
        <sz val="12"/>
        <color theme="1"/>
        <rFont val="Arial"/>
        <family val="2"/>
        <charset val="204"/>
      </rPr>
      <t>M</t>
    </r>
    <r>
      <rPr>
        <sz val="12"/>
        <color theme="1"/>
        <rFont val="Arial"/>
        <family val="2"/>
        <charset val="204"/>
      </rPr>
      <t xml:space="preserve">ultiplier of </t>
    </r>
    <r>
      <rPr>
        <b/>
        <sz val="12"/>
        <color theme="1"/>
        <rFont val="Arial"/>
        <family val="2"/>
        <charset val="204"/>
      </rPr>
      <t>F</t>
    </r>
    <r>
      <rPr>
        <sz val="12"/>
        <color theme="1"/>
        <rFont val="Arial"/>
        <family val="2"/>
        <charset val="204"/>
      </rPr>
      <t xml:space="preserve">ood </t>
    </r>
    <r>
      <rPr>
        <b/>
        <sz val="12"/>
        <color theme="1"/>
        <rFont val="Arial"/>
        <family val="2"/>
        <charset val="204"/>
      </rPr>
      <t>P</t>
    </r>
    <r>
      <rPr>
        <sz val="12"/>
        <color theme="1"/>
        <rFont val="Arial"/>
        <family val="2"/>
        <charset val="204"/>
      </rPr>
      <t>roduction).</t>
    </r>
  </si>
  <si>
    <r>
      <t>TF8</t>
    </r>
    <r>
      <rPr>
        <vertAlign val="subscript"/>
        <sz val="12"/>
        <color theme="1"/>
        <rFont val="Arial"/>
        <family val="2"/>
        <charset val="204"/>
      </rPr>
      <t>старт</t>
    </r>
    <r>
      <rPr>
        <sz val="12"/>
        <color theme="1"/>
        <rFont val="Arial"/>
        <family val="2"/>
        <charset val="204"/>
      </rPr>
      <t xml:space="preserve"> = 1,1</t>
    </r>
  </si>
  <si>
    <r>
      <t xml:space="preserve">Министр внешней торговли
и финансов </t>
    </r>
    <r>
      <rPr>
        <sz val="15"/>
        <color theme="1"/>
        <rFont val="Arial"/>
        <family val="2"/>
        <charset val="204"/>
      </rPr>
      <t>(</t>
    </r>
    <r>
      <rPr>
        <b/>
        <sz val="15"/>
        <color theme="1"/>
        <rFont val="Arial"/>
        <family val="2"/>
        <charset val="204"/>
      </rPr>
      <t>T</t>
    </r>
    <r>
      <rPr>
        <sz val="15"/>
        <color theme="1"/>
        <rFont val="Arial"/>
        <family val="2"/>
        <charset val="204"/>
      </rPr>
      <t xml:space="preserve">rade and </t>
    </r>
    <r>
      <rPr>
        <b/>
        <sz val="15"/>
        <color theme="1"/>
        <rFont val="Arial"/>
        <family val="2"/>
        <charset val="204"/>
      </rPr>
      <t>F</t>
    </r>
    <r>
      <rPr>
        <sz val="15"/>
        <color theme="1"/>
        <rFont val="Arial"/>
        <family val="2"/>
        <charset val="204"/>
      </rPr>
      <t>inance)</t>
    </r>
  </si>
  <si>
    <t>TF2</t>
  </si>
  <si>
    <t>TF3</t>
  </si>
  <si>
    <t>TF4</t>
  </si>
  <si>
    <t>TF5</t>
  </si>
  <si>
    <t>TF6</t>
  </si>
  <si>
    <t>TF7</t>
  </si>
  <si>
    <t>TF8</t>
  </si>
  <si>
    <t>Решение №:6</t>
  </si>
  <si>
    <t>TF9</t>
  </si>
  <si>
    <t>TF10</t>
  </si>
  <si>
    <t>TF11</t>
  </si>
  <si>
    <t>TF12</t>
  </si>
  <si>
    <t>Оценить поступление валюты по статьям</t>
  </si>
  <si>
    <t>TF13</t>
  </si>
  <si>
    <t>Принять решение о новом иностранном займе</t>
  </si>
  <si>
    <t>Решение №7:</t>
  </si>
  <si>
    <t>Решение №8:</t>
  </si>
  <si>
    <t>Принять решение о выплатах по долгу</t>
  </si>
  <si>
    <t>TF14</t>
  </si>
  <si>
    <t>Решение №9:</t>
  </si>
  <si>
    <t>Распределить валюту на закупки по импорту</t>
  </si>
  <si>
    <t>TF15</t>
  </si>
  <si>
    <t>TF16</t>
  </si>
  <si>
    <t>TF17</t>
  </si>
  <si>
    <t>TF18</t>
  </si>
  <si>
    <t>Внешний долг (на начало периода)</t>
  </si>
  <si>
    <t>Выплаты по процентам (п.п.)</t>
  </si>
  <si>
    <t>Максимально возможный заём (т.п.)</t>
  </si>
  <si>
    <t>Цена на импорт энергии</t>
  </si>
  <si>
    <t>Цена на импорт товаров</t>
  </si>
  <si>
    <t>Цена на импорт продовольствия</t>
  </si>
  <si>
    <t>Коэффициент девальвации собственной валюты (т.п.)</t>
  </si>
  <si>
    <t>Иностранная помощь</t>
  </si>
  <si>
    <t>Энергия на экспорт</t>
  </si>
  <si>
    <t>Товары на экспорт</t>
  </si>
  <si>
    <t>Продовольствие на экспорт</t>
  </si>
  <si>
    <t>Выплаты по долгу (т.п.)</t>
  </si>
  <si>
    <t>Валюта для импорта энергии</t>
  </si>
  <si>
    <t>Валюта для импорта товаров</t>
  </si>
  <si>
    <t>Валюта для импорта продовольствия</t>
  </si>
  <si>
    <t>Максимально возможный кредит (т.п.)</t>
  </si>
  <si>
    <t>Новый кредит</t>
  </si>
  <si>
    <t>Проценты за пользование кредитом (за п.п.)</t>
  </si>
  <si>
    <r>
      <t>= TF1</t>
    </r>
    <r>
      <rPr>
        <vertAlign val="subscript"/>
        <sz val="12"/>
        <color theme="1"/>
        <rFont val="Arial"/>
        <family val="2"/>
        <charset val="204"/>
      </rPr>
      <t xml:space="preserve">пред </t>
    </r>
    <r>
      <rPr>
        <sz val="12"/>
        <color theme="1"/>
        <rFont val="Arial"/>
        <family val="2"/>
        <charset val="204"/>
      </rPr>
      <t>+ TF13</t>
    </r>
    <r>
      <rPr>
        <vertAlign val="subscript"/>
        <sz val="12"/>
        <color theme="1"/>
        <rFont val="Arial"/>
        <family val="2"/>
        <charset val="204"/>
      </rPr>
      <t>пред</t>
    </r>
    <r>
      <rPr>
        <sz val="12"/>
        <color theme="1"/>
        <rFont val="Arial"/>
        <family val="2"/>
        <charset val="204"/>
      </rPr>
      <t xml:space="preserve"> + TF4</t>
    </r>
    <r>
      <rPr>
        <vertAlign val="subscript"/>
        <sz val="12"/>
        <color theme="1"/>
        <rFont val="Arial"/>
        <family val="2"/>
        <charset val="204"/>
      </rPr>
      <t>пред</t>
    </r>
    <r>
      <rPr>
        <sz val="12"/>
        <color theme="1"/>
        <rFont val="Arial"/>
        <family val="2"/>
        <charset val="204"/>
      </rPr>
      <t xml:space="preserve"> - TF14</t>
    </r>
    <r>
      <rPr>
        <vertAlign val="subscript"/>
        <sz val="12"/>
        <color theme="1"/>
        <rFont val="Arial"/>
        <family val="2"/>
        <charset val="204"/>
      </rPr>
      <t>пред</t>
    </r>
  </si>
  <si>
    <r>
      <t>Величина внешнего долга рассчитывается как долг прошлого периода TF1</t>
    </r>
    <r>
      <rPr>
        <vertAlign val="subscript"/>
        <sz val="12"/>
        <color theme="1"/>
        <rFont val="Arial"/>
        <family val="2"/>
        <charset val="204"/>
      </rPr>
      <t>пред</t>
    </r>
    <r>
      <rPr>
        <sz val="12"/>
        <color theme="1"/>
        <rFont val="Arial"/>
        <family val="2"/>
        <charset val="204"/>
      </rPr>
      <t xml:space="preserve"> + новый кредит TF13 из графы "Решение №7" Министра внешней торговли и финансов + проценты за пользование кредитом TF4 минус долговые выплаты текущего периода TF14 из графы "Решение №8" Министра внешней торговли и финансов</t>
    </r>
  </si>
  <si>
    <t>Figure TF-2: Interest rate as a function of the ratio of debt to the average export.</t>
  </si>
  <si>
    <t>Ставка по кредиту, %</t>
  </si>
  <si>
    <t>Figure TF-1:Multiplier on import prices as a function of the ratio of debt to the average exports.</t>
  </si>
  <si>
    <t>График TF-1. Зависимость коэффициента девальвации собственной валюты от отношения внешнего долга к величине экспорта, усредненной за прошлые три периода.</t>
  </si>
  <si>
    <t>Отношение внешнего долга к средней величине экспорта за прошлые три периода</t>
  </si>
  <si>
    <t>График TF-2. Зависимость процентной ставки по кредиту от отношения внешнего долга к величине экспорта, усредненной за прошлые три периода.</t>
  </si>
  <si>
    <t>Коэффициент девальвации собственной валюты</t>
  </si>
  <si>
    <t>Процентная ставка по кредиту (т.п.)</t>
  </si>
  <si>
    <t xml:space="preserve">Процентная ставка по кредиту (т.п.) </t>
  </si>
  <si>
    <t>Стартовое значение 10% в год (50% за период), затем рассчитывается по графику TF-2. Суммарный экспорт энергии, товаров и продовольствия усредняется за три предыдущих периода. Если долг в 5 раз превысит средний суммарный объем экспорта, ставка составит 20%</t>
  </si>
  <si>
    <r>
      <t>= линейной интерполяцией по графику TF-2 как функция от отношения (TF1</t>
    </r>
    <r>
      <rPr>
        <vertAlign val="subscript"/>
        <sz val="12"/>
        <color theme="1"/>
        <rFont val="Arial"/>
        <family val="2"/>
        <charset val="204"/>
      </rPr>
      <t>тек</t>
    </r>
    <r>
      <rPr>
        <sz val="12"/>
        <color theme="1"/>
        <rFont val="Arial"/>
        <family val="2"/>
        <charset val="204"/>
      </rPr>
      <t xml:space="preserve"> / ([TF10 + TF11 + TF12]</t>
    </r>
    <r>
      <rPr>
        <vertAlign val="subscript"/>
        <sz val="12"/>
        <color theme="1"/>
        <rFont val="Arial"/>
        <family val="2"/>
        <charset val="204"/>
      </rPr>
      <t>средн.за3периода</t>
    </r>
    <r>
      <rPr>
        <sz val="12"/>
        <color theme="1"/>
        <rFont val="Arial"/>
        <family val="2"/>
        <charset val="204"/>
      </rPr>
      <t>))</t>
    </r>
  </si>
  <si>
    <t>Стартовое значение 1. Если долг в 5 раз превысит средний суммарный объем экспорта, коэффициент девальвации возрастет до 2. На коэффициент девальвации умножаются цены за импортируемые энергию, продовольствие и товары</t>
  </si>
  <si>
    <r>
      <t>= линейной интерполяцией по графику TF-1 как функция от отношения (TF1</t>
    </r>
    <r>
      <rPr>
        <vertAlign val="subscript"/>
        <sz val="12"/>
        <color theme="1"/>
        <rFont val="Arial"/>
        <family val="2"/>
        <charset val="204"/>
      </rPr>
      <t>тек</t>
    </r>
    <r>
      <rPr>
        <sz val="12"/>
        <color theme="1"/>
        <rFont val="Arial"/>
        <family val="2"/>
        <charset val="204"/>
      </rPr>
      <t xml:space="preserve"> / ([TF10 + TF11 + TF12]</t>
    </r>
    <r>
      <rPr>
        <vertAlign val="subscript"/>
        <sz val="12"/>
        <color theme="1"/>
        <rFont val="Arial"/>
        <family val="2"/>
        <charset val="204"/>
      </rPr>
      <t>средн.за3периода</t>
    </r>
    <r>
      <rPr>
        <sz val="12"/>
        <color theme="1"/>
        <rFont val="Arial"/>
        <family val="2"/>
        <charset val="204"/>
      </rPr>
      <t>))</t>
    </r>
  </si>
  <si>
    <t>При экспорте продовольствия за 1 ед. продовольствия дается 1 единица валюты.
При импорте продовольствия 1 ед. продовольствия стоит 1,1 ед. валюты (или больше, если валюта девальвируется в результате внешнего долга, коэффициент девальвации TF3 может достигать 2).</t>
  </si>
  <si>
    <r>
      <t xml:space="preserve">Стартовое значение 2,13 уже рассчитано по этому соотношению (округлено от 2,125). В английском оригинале коэффициент называется </t>
    </r>
    <r>
      <rPr>
        <b/>
        <sz val="12"/>
        <color theme="1"/>
        <rFont val="Arial"/>
        <family val="2"/>
        <charset val="204"/>
      </rPr>
      <t>M</t>
    </r>
    <r>
      <rPr>
        <sz val="12"/>
        <color theme="1"/>
        <rFont val="Arial"/>
        <family val="2"/>
        <charset val="204"/>
      </rPr>
      <t xml:space="preserve">ultiplier of </t>
    </r>
    <r>
      <rPr>
        <b/>
        <sz val="12"/>
        <color theme="1"/>
        <rFont val="Arial"/>
        <family val="2"/>
        <charset val="204"/>
      </rPr>
      <t>H</t>
    </r>
    <r>
      <rPr>
        <sz val="12"/>
        <color theme="1"/>
        <rFont val="Arial"/>
        <family val="2"/>
        <charset val="204"/>
      </rPr>
      <t xml:space="preserve">uman </t>
    </r>
    <r>
      <rPr>
        <b/>
        <sz val="12"/>
        <color theme="1"/>
        <rFont val="Arial"/>
        <family val="2"/>
        <charset val="204"/>
      </rPr>
      <t>S</t>
    </r>
    <r>
      <rPr>
        <sz val="12"/>
        <color theme="1"/>
        <rFont val="Arial"/>
        <family val="2"/>
        <charset val="204"/>
      </rPr>
      <t>ervices (MHS)</t>
    </r>
  </si>
  <si>
    <t>Производство товаров при 100%-ном обеспечении промышленности энергоресурсами. Вместо коэффициента производительности труда от потребления товаров (который может быть меньше единицы, если потребление товаров падает) в формуле всегда берется 1 - в этом отличие планового производства товаров G15 от фактического G12</t>
  </si>
  <si>
    <t>Стартовое значение уже рассчитано по этой методике, считается через ячейки в том же столбце, при этом G12 и G14 в нем отображают данные по прошлому периоду</t>
  </si>
  <si>
    <t>Стартовое значение уже рассчитано по этой методике: выбытие капитала для пр-ва энергии и для энергосбережения + выбытие капитала для пр-ва продовольствия и природоохранного капитала + выбытие капитала пр-ва товаров и капитала сферы услуг</t>
  </si>
  <si>
    <r>
      <t>TF7</t>
    </r>
    <r>
      <rPr>
        <vertAlign val="subscript"/>
        <sz val="12"/>
        <color theme="1"/>
        <rFont val="Arial"/>
        <family val="2"/>
        <charset val="204"/>
      </rPr>
      <t>старт</t>
    </r>
    <r>
      <rPr>
        <sz val="12"/>
        <color theme="1"/>
        <rFont val="Arial"/>
        <family val="2"/>
        <charset val="204"/>
      </rPr>
      <t xml:space="preserve"> = 1,1</t>
    </r>
  </si>
  <si>
    <t>При экспорте товаров за 1 ед. товаров дается 1 единица валюты.
При импорте товаров 1 ед. товаров стоит 1,1 ед. валюты (или больше, если валюта девальвируется в результате внешнего долга, коэффициент девальвации TF3 может достигать 2).</t>
  </si>
  <si>
    <r>
      <t>TF6</t>
    </r>
    <r>
      <rPr>
        <vertAlign val="subscript"/>
        <sz val="12"/>
        <color theme="1"/>
        <rFont val="Arial"/>
        <family val="2"/>
        <charset val="204"/>
      </rPr>
      <t>старт</t>
    </r>
    <r>
      <rPr>
        <sz val="12"/>
        <color theme="1"/>
        <rFont val="Arial"/>
        <family val="2"/>
        <charset val="204"/>
      </rPr>
      <t xml:space="preserve"> = 1</t>
    </r>
  </si>
  <si>
    <t>При экспорте энергии за 1 ед. энергоресурсов дается 1 единица валюты.
При импорте энергии 1 ед. товаров стоит 1 ед. валюты (или больше, если валюта девальвируется в результате внешнего долга, коэффициент девальвации TF3 может достигать 2).</t>
  </si>
  <si>
    <t>Рассчитываются как величина долга, умноженная на процентную ставку/100 и умноженная на 5 лет</t>
  </si>
  <si>
    <r>
      <t>= TF1</t>
    </r>
    <r>
      <rPr>
        <vertAlign val="subscript"/>
        <sz val="12"/>
        <color theme="1"/>
        <rFont val="Arial"/>
        <family val="2"/>
        <charset val="204"/>
      </rPr>
      <t>тек</t>
    </r>
    <r>
      <rPr>
        <sz val="12"/>
        <color theme="1"/>
        <rFont val="Arial"/>
        <family val="2"/>
        <charset val="204"/>
      </rPr>
      <t xml:space="preserve"> * (TF2</t>
    </r>
    <r>
      <rPr>
        <vertAlign val="subscript"/>
        <sz val="12"/>
        <color theme="1"/>
        <rFont val="Arial"/>
        <family val="2"/>
        <charset val="204"/>
      </rPr>
      <t>тек</t>
    </r>
    <r>
      <rPr>
        <sz val="12"/>
        <color theme="1"/>
        <rFont val="Arial"/>
        <family val="2"/>
        <charset val="204"/>
      </rPr>
      <t xml:space="preserve"> / 100) * 5</t>
    </r>
  </si>
  <si>
    <r>
      <t>= TF16</t>
    </r>
    <r>
      <rPr>
        <vertAlign val="subscript"/>
        <sz val="12"/>
        <rFont val="Arial"/>
        <family val="2"/>
        <charset val="204"/>
      </rPr>
      <t>пред</t>
    </r>
    <r>
      <rPr>
        <sz val="12"/>
        <rFont val="Arial"/>
        <family val="2"/>
        <charset val="204"/>
      </rPr>
      <t xml:space="preserve"> / TF6</t>
    </r>
    <r>
      <rPr>
        <vertAlign val="subscript"/>
        <sz val="12"/>
        <rFont val="Arial"/>
        <family val="2"/>
        <charset val="204"/>
      </rPr>
      <t>пред</t>
    </r>
  </si>
  <si>
    <t>Стартовое значение 1000. В последующие периоды рассчитывается в зависимостри от решений Министра внешней торговли и финансов в предыдущем периоде: выделенная валюта на зимпорт энергии TF16, деленная на цену за единицу энергии TF6</t>
  </si>
  <si>
    <r>
      <t xml:space="preserve"> = TF17</t>
    </r>
    <r>
      <rPr>
        <vertAlign val="subscript"/>
        <sz val="12"/>
        <color theme="1"/>
        <rFont val="Arial"/>
        <family val="2"/>
        <charset val="204"/>
      </rPr>
      <t>пр</t>
    </r>
    <r>
      <rPr>
        <vertAlign val="subscript"/>
        <sz val="12"/>
        <rFont val="Arial"/>
        <family val="2"/>
        <charset val="204"/>
      </rPr>
      <t>ед</t>
    </r>
    <r>
      <rPr>
        <sz val="12"/>
        <rFont val="Arial"/>
        <family val="2"/>
        <charset val="204"/>
      </rPr>
      <t xml:space="preserve"> / TF7</t>
    </r>
    <r>
      <rPr>
        <vertAlign val="subscript"/>
        <sz val="12"/>
        <rFont val="Arial"/>
        <family val="2"/>
        <charset val="204"/>
      </rPr>
      <t>тек</t>
    </r>
    <r>
      <rPr>
        <sz val="12"/>
        <rFont val="Arial"/>
        <family val="2"/>
        <charset val="204"/>
      </rPr>
      <t/>
    </r>
  </si>
  <si>
    <r>
      <t>Стартовое значение 500 задано в явном виде. В последующих периодах значение рассчитывается через валюту на импорт товаров TF17</t>
    </r>
    <r>
      <rPr>
        <vertAlign val="subscript"/>
        <sz val="12"/>
        <rFont val="Arial"/>
        <family val="2"/>
        <charset val="204"/>
      </rPr>
      <t xml:space="preserve">пред </t>
    </r>
    <r>
      <rPr>
        <sz val="12"/>
        <rFont val="Arial"/>
        <family val="2"/>
        <charset val="204"/>
      </rPr>
      <t>из графы "Решение №9" Министра внешней торговли и финансов, деленную на цену товаров TF7</t>
    </r>
  </si>
  <si>
    <r>
      <t xml:space="preserve"> = TF18</t>
    </r>
    <r>
      <rPr>
        <vertAlign val="subscript"/>
        <sz val="12"/>
        <color theme="1"/>
        <rFont val="Arial"/>
        <family val="2"/>
        <charset val="204"/>
      </rPr>
      <t>пред</t>
    </r>
    <r>
      <rPr>
        <sz val="12"/>
        <color theme="1"/>
        <rFont val="Arial"/>
        <family val="2"/>
        <charset val="204"/>
      </rPr>
      <t xml:space="preserve"> / </t>
    </r>
    <r>
      <rPr>
        <sz val="12"/>
        <rFont val="Arial"/>
        <family val="2"/>
        <charset val="204"/>
      </rPr>
      <t>TF8</t>
    </r>
    <r>
      <rPr>
        <vertAlign val="subscript"/>
        <sz val="12"/>
        <rFont val="Arial"/>
        <family val="2"/>
        <charset val="204"/>
      </rPr>
      <t>тек</t>
    </r>
  </si>
  <si>
    <r>
      <t>Стартовое значение 500 задано в явном виде. В последующих периодах значение рассчитывается через валюту на импорт продовольствия TF18</t>
    </r>
    <r>
      <rPr>
        <vertAlign val="subscript"/>
        <sz val="12"/>
        <color theme="1"/>
        <rFont val="Arial"/>
        <family val="2"/>
        <charset val="204"/>
      </rPr>
      <t xml:space="preserve">пред </t>
    </r>
    <r>
      <rPr>
        <sz val="12"/>
        <color theme="1"/>
        <rFont val="Arial"/>
        <family val="2"/>
        <charset val="204"/>
      </rPr>
      <t>из графы "Решение №9" Министра внешней торговли и финансов, деленную на цену продовольствия TF8</t>
    </r>
  </si>
  <si>
    <r>
      <t>= 0, если TF1</t>
    </r>
    <r>
      <rPr>
        <vertAlign val="subscript"/>
        <sz val="12"/>
        <color theme="1"/>
        <rFont val="Arial"/>
        <family val="2"/>
        <charset val="204"/>
      </rPr>
      <t>тек</t>
    </r>
    <r>
      <rPr>
        <sz val="12"/>
        <color theme="1"/>
        <rFont val="Arial"/>
        <family val="2"/>
        <charset val="204"/>
      </rPr>
      <t xml:space="preserve"> ≥ ([TF10 + TF11 + TF12]</t>
    </r>
    <r>
      <rPr>
        <vertAlign val="subscript"/>
        <sz val="12"/>
        <color theme="1"/>
        <rFont val="Arial"/>
        <family val="2"/>
        <charset val="204"/>
      </rPr>
      <t>средн.за3периода</t>
    </r>
    <r>
      <rPr>
        <sz val="12"/>
        <color theme="1"/>
        <rFont val="Arial"/>
        <family val="2"/>
        <charset val="204"/>
      </rPr>
      <t>)
= [TF10 + TF11 + TF12]</t>
    </r>
    <r>
      <rPr>
        <vertAlign val="subscript"/>
        <sz val="12"/>
        <color theme="1"/>
        <rFont val="Arial"/>
        <family val="2"/>
        <charset val="204"/>
      </rPr>
      <t>средн.за3периода</t>
    </r>
    <r>
      <rPr>
        <sz val="12"/>
        <color theme="1"/>
        <rFont val="Arial"/>
        <family val="2"/>
        <charset val="204"/>
      </rPr>
      <t>, если эта величина больше внешнего долга</t>
    </r>
  </si>
  <si>
    <t>Стартовое значение 1000, для последующих периодов расчет по формуле</t>
  </si>
  <si>
    <t>Если внешний долг TF1 превысит половину суммы всех товаров, продовольствия и энергоресурсов страны [1/2 * (P3 + P2 + E7)], то МВФ вмешается и в начале следующего периода конфискует 10% всех товаров (0,1 * P3)</t>
  </si>
  <si>
    <r>
      <t>Если TF1 &gt; [1/2 * (P3 + P2 + E7)], то P3</t>
    </r>
    <r>
      <rPr>
        <vertAlign val="subscript"/>
        <sz val="12"/>
        <color theme="1"/>
        <rFont val="Arial"/>
        <family val="2"/>
        <charset val="204"/>
      </rPr>
      <t>след</t>
    </r>
    <r>
      <rPr>
        <sz val="12"/>
        <color theme="1"/>
        <rFont val="Arial"/>
        <family val="2"/>
        <charset val="204"/>
      </rPr>
      <t xml:space="preserve"> = P3</t>
    </r>
    <r>
      <rPr>
        <vertAlign val="subscript"/>
        <sz val="12"/>
        <color theme="1"/>
        <rFont val="Arial"/>
        <family val="2"/>
        <charset val="204"/>
      </rPr>
      <t>пред</t>
    </r>
    <r>
      <rPr>
        <sz val="12"/>
        <color theme="1"/>
        <rFont val="Arial"/>
        <family val="2"/>
        <charset val="204"/>
      </rPr>
      <t xml:space="preserve"> * 0,9</t>
    </r>
  </si>
  <si>
    <r>
      <t>= 1 * TF3</t>
    </r>
    <r>
      <rPr>
        <vertAlign val="subscript"/>
        <sz val="12"/>
        <color theme="1"/>
        <rFont val="Arial"/>
        <family val="2"/>
        <charset val="204"/>
      </rPr>
      <t>тек</t>
    </r>
  </si>
  <si>
    <r>
      <t>= 1,1 * TF3</t>
    </r>
    <r>
      <rPr>
        <vertAlign val="subscript"/>
        <sz val="12"/>
        <color theme="1"/>
        <rFont val="Arial"/>
        <family val="2"/>
        <charset val="204"/>
      </rPr>
      <t>тек</t>
    </r>
  </si>
  <si>
    <t>Максимальное подорожание в сравнении со стартовым значением 1,1 - в 2 раза, до 2,2 за единицу товара</t>
  </si>
  <si>
    <t>Максимальное подорожание в сравнении со стартовым значением 1 - в 2 раза, до 2 за единицу энергии</t>
  </si>
  <si>
    <t>TF15 = TF9 + TF10 + TF11 + TF12 + TF13 - TF14</t>
  </si>
  <si>
    <t>TF15 = TF16 + TF17 + TF18</t>
  </si>
  <si>
    <t>Доступная валюта = все валютные поступления (иностранная помощь, экспорт энергии, товаров и продовольствия, новый заём) минус выплаты по долгу</t>
  </si>
  <si>
    <t>Валюта для импорта, суммарно</t>
  </si>
  <si>
    <t>Доступную валюту необходимо распределить на импорт энергоресурсов, товаров и продовольствия</t>
  </si>
  <si>
    <t>TF10 = E21</t>
  </si>
  <si>
    <t>Энергоресурсы на экспорт. Значение TF10 в графе "Решение №6" Министра внешней торговли и финансов должно совпадать со значением E21 в графе "Решение №3" Министра энергетики.</t>
  </si>
  <si>
    <t>Товары на экспорт. Значение TF11 в графе в графе "Решение №6" Министра внешней торговли и финансов должно совпадать со значением P13 в графе "Решение №2" Министра по делам населения.</t>
  </si>
  <si>
    <t>Продовольствие на экспорт. Значение TF12 в графе в графе "Решение №6" Министра внешней торговли и финансов должно совпадать со значением P10 в графе "Решение №1" Министра по делам населения.</t>
  </si>
  <si>
    <r>
      <t>TF3</t>
    </r>
    <r>
      <rPr>
        <vertAlign val="subscript"/>
        <sz val="12"/>
        <color theme="1"/>
        <rFont val="Arial"/>
        <family val="2"/>
        <charset val="204"/>
      </rPr>
      <t>макс.</t>
    </r>
    <r>
      <rPr>
        <sz val="12"/>
        <color theme="1"/>
        <rFont val="Arial"/>
        <family val="2"/>
        <charset val="204"/>
      </rPr>
      <t xml:space="preserve"> = 2</t>
    </r>
  </si>
  <si>
    <t>Максимальный коэффициент девальвации собственной валюты</t>
  </si>
  <si>
    <r>
      <t>TF6</t>
    </r>
    <r>
      <rPr>
        <vertAlign val="subscript"/>
        <sz val="12"/>
        <color theme="1"/>
        <rFont val="Arial"/>
        <family val="2"/>
        <charset val="204"/>
      </rPr>
      <t>макс.</t>
    </r>
    <r>
      <rPr>
        <sz val="12"/>
        <color theme="1"/>
        <rFont val="Arial"/>
        <family val="2"/>
        <charset val="204"/>
      </rPr>
      <t xml:space="preserve"> = 2</t>
    </r>
  </si>
  <si>
    <r>
      <t>TF7</t>
    </r>
    <r>
      <rPr>
        <vertAlign val="subscript"/>
        <sz val="12"/>
        <color theme="1"/>
        <rFont val="Arial"/>
        <family val="2"/>
        <charset val="204"/>
      </rPr>
      <t>макс.</t>
    </r>
    <r>
      <rPr>
        <sz val="12"/>
        <color theme="1"/>
        <rFont val="Arial"/>
        <family val="2"/>
        <charset val="204"/>
      </rPr>
      <t xml:space="preserve"> = 2</t>
    </r>
  </si>
  <si>
    <t>Максимальная цена за единицу импортируемой энергии</t>
  </si>
  <si>
    <t>Максимальная цена за единицу импортируемых товаров</t>
  </si>
  <si>
    <r>
      <t>TF8</t>
    </r>
    <r>
      <rPr>
        <vertAlign val="subscript"/>
        <sz val="12"/>
        <color theme="1"/>
        <rFont val="Arial"/>
        <family val="2"/>
        <charset val="204"/>
      </rPr>
      <t>макс.</t>
    </r>
    <r>
      <rPr>
        <sz val="12"/>
        <color theme="1"/>
        <rFont val="Arial"/>
        <family val="2"/>
        <charset val="204"/>
      </rPr>
      <t xml:space="preserve"> = 2</t>
    </r>
  </si>
  <si>
    <t>Максимальная цена за единицу импортируемого продовольствия</t>
  </si>
  <si>
    <r>
      <t>= G6</t>
    </r>
    <r>
      <rPr>
        <vertAlign val="subscript"/>
        <sz val="12"/>
        <color theme="1"/>
        <rFont val="Arial"/>
        <family val="2"/>
        <charset val="204"/>
      </rPr>
      <t xml:space="preserve">тек </t>
    </r>
    <r>
      <rPr>
        <sz val="12"/>
        <color theme="1"/>
        <rFont val="Arial"/>
        <family val="2"/>
        <charset val="204"/>
      </rPr>
      <t>/ (P1</t>
    </r>
    <r>
      <rPr>
        <vertAlign val="subscript"/>
        <sz val="12"/>
        <color rgb="FF0000FF"/>
        <rFont val="Arial"/>
        <family val="2"/>
        <charset val="204"/>
      </rPr>
      <t>пред</t>
    </r>
    <r>
      <rPr>
        <sz val="12"/>
        <color theme="1"/>
        <rFont val="Arial"/>
        <family val="2"/>
        <charset val="204"/>
      </rPr>
      <t>)</t>
    </r>
  </si>
  <si>
    <r>
      <t>= P11</t>
    </r>
    <r>
      <rPr>
        <vertAlign val="subscript"/>
        <sz val="12"/>
        <color rgb="FF0000FF"/>
        <rFont val="Arial"/>
        <family val="2"/>
        <charset val="204"/>
      </rPr>
      <t>пред</t>
    </r>
    <r>
      <rPr>
        <sz val="12"/>
        <color theme="1"/>
        <rFont val="Arial"/>
        <family val="2"/>
        <charset val="204"/>
      </rPr>
      <t xml:space="preserve"> / 5</t>
    </r>
  </si>
  <si>
    <t>Сводный лист решений</t>
  </si>
  <si>
    <t>№1</t>
  </si>
  <si>
    <t>№2</t>
  </si>
  <si>
    <t>№3</t>
  </si>
  <si>
    <t>№4</t>
  </si>
  <si>
    <t>№5</t>
  </si>
  <si>
    <t>№6</t>
  </si>
  <si>
    <t>№7</t>
  </si>
  <si>
    <t>Новый кредит (TF13 &lt;= TF5)</t>
  </si>
  <si>
    <t>№8</t>
  </si>
  <si>
    <t>№9</t>
  </si>
  <si>
    <t>Валюта для импорта, суммарно
(TF9 + TF10 + TF11 + TF12 + TF13 - TF14)</t>
  </si>
  <si>
    <t>TF16 + TF17 + TF18 = TF5</t>
  </si>
  <si>
    <t>Лист состояния страны</t>
  </si>
  <si>
    <t>Уровень смертности, чел./1000 чел. в год</t>
  </si>
  <si>
    <t>Уровень рождаемости, чел./1000 чел. в год</t>
  </si>
  <si>
    <t>Плановое пр-во продовольствия</t>
  </si>
  <si>
    <t>Основной с/х капитал</t>
  </si>
  <si>
    <r>
      <rPr>
        <b/>
        <sz val="12"/>
        <color rgb="FFFF0000"/>
        <rFont val="Arial"/>
        <family val="2"/>
        <charset val="204"/>
      </rPr>
      <t>Темпы роста численности населения</t>
    </r>
    <r>
      <rPr>
        <sz val="12"/>
        <color rgb="FFFF0000"/>
        <rFont val="Arial"/>
        <family val="2"/>
        <charset val="204"/>
      </rPr>
      <t xml:space="preserve">
(годовой прирост населения в процентах)</t>
    </r>
  </si>
  <si>
    <t>Основной капитал для пр-ва товаров</t>
  </si>
  <si>
    <t>Основной капитал сферы услуг</t>
  </si>
  <si>
    <t>Плановое производство товаров</t>
  </si>
  <si>
    <r>
      <rPr>
        <b/>
        <sz val="12"/>
        <color rgb="FFFF0000"/>
        <rFont val="Arial"/>
        <family val="2"/>
        <charset val="204"/>
      </rPr>
      <t>Сводный счет</t>
    </r>
    <r>
      <rPr>
        <b/>
        <sz val="12"/>
        <color theme="1"/>
        <rFont val="Arial"/>
        <family val="2"/>
        <charset val="204"/>
      </rPr>
      <t xml:space="preserve">
</t>
    </r>
    <r>
      <rPr>
        <i/>
        <sz val="12"/>
        <color rgb="FF0000FF"/>
        <rFont val="Arial"/>
        <family val="2"/>
        <charset val="204"/>
      </rPr>
      <t>(усредняется за все прошедшие периоды игры)</t>
    </r>
  </si>
  <si>
    <r>
      <rPr>
        <b/>
        <sz val="12"/>
        <color rgb="FFFF0000"/>
        <rFont val="Arial"/>
        <family val="2"/>
        <charset val="204"/>
      </rPr>
      <t>Численность населения</t>
    </r>
    <r>
      <rPr>
        <sz val="12"/>
        <color rgb="FFFF0000"/>
        <rFont val="Arial"/>
        <family val="2"/>
        <charset val="204"/>
      </rPr>
      <t xml:space="preserve"> </t>
    </r>
    <r>
      <rPr>
        <i/>
        <sz val="12"/>
        <color rgb="FF0000FF"/>
        <rFont val="Arial"/>
        <family val="2"/>
        <charset val="204"/>
      </rPr>
      <t>(округляется до десятков)</t>
    </r>
  </si>
  <si>
    <r>
      <rPr>
        <b/>
        <sz val="12"/>
        <color rgb="FFFF0000"/>
        <rFont val="Arial"/>
        <family val="2"/>
        <charset val="204"/>
      </rPr>
      <t xml:space="preserve">Эффективность сельского хозяйства
</t>
    </r>
    <r>
      <rPr>
        <sz val="12"/>
        <color rgb="FFFF0000"/>
        <rFont val="Arial"/>
        <family val="2"/>
        <charset val="204"/>
      </rPr>
      <t xml:space="preserve">(продовольствие на единицу капитала в с/х)
</t>
    </r>
    <r>
      <rPr>
        <sz val="12"/>
        <color rgb="FF0000FF"/>
        <rFont val="Arial"/>
        <family val="2"/>
        <charset val="204"/>
      </rPr>
      <t>(</t>
    </r>
    <r>
      <rPr>
        <i/>
        <sz val="12"/>
        <color rgb="FF0000FF"/>
        <rFont val="Arial"/>
        <family val="2"/>
        <charset val="204"/>
      </rPr>
      <t>округляется до целых, со временем сокращается)</t>
    </r>
  </si>
  <si>
    <r>
      <rPr>
        <b/>
        <sz val="12"/>
        <color rgb="FFFF0000"/>
        <rFont val="Arial"/>
        <family val="2"/>
        <charset val="204"/>
      </rPr>
      <t>Эффективность энергетики</t>
    </r>
    <r>
      <rPr>
        <sz val="12"/>
        <color theme="1"/>
        <rFont val="Arial"/>
        <family val="2"/>
        <charset val="204"/>
      </rPr>
      <t xml:space="preserve">
</t>
    </r>
    <r>
      <rPr>
        <sz val="12"/>
        <color rgb="FFFF0000"/>
        <rFont val="Arial"/>
        <family val="2"/>
        <charset val="204"/>
      </rPr>
      <t xml:space="preserve">(генерация энергии на единицу капитала в энергетике)
</t>
    </r>
    <r>
      <rPr>
        <i/>
        <sz val="12"/>
        <color rgb="FF0000FF"/>
        <rFont val="Arial"/>
        <family val="2"/>
        <charset val="204"/>
      </rPr>
      <t>(округляется до целых, со временем сокращается)</t>
    </r>
  </si>
  <si>
    <t>Всего продовольствия от импорта и пр-ва</t>
  </si>
  <si>
    <t>Всего товаров от импорта и пр-ва</t>
  </si>
  <si>
    <t>Всего энергоресурсов от пр-ва, импорта и резерва</t>
  </si>
  <si>
    <t>E26 + E27 + G18 + G19 + F14 + F15 = P12</t>
  </si>
  <si>
    <r>
      <rPr>
        <b/>
        <sz val="12"/>
        <color rgb="FFFF0000"/>
        <rFont val="Arial"/>
        <family val="2"/>
        <charset val="204"/>
      </rPr>
      <t>Эффективность промышленности</t>
    </r>
    <r>
      <rPr>
        <sz val="12"/>
        <color rgb="FFFF0000"/>
        <rFont val="Arial"/>
        <family val="2"/>
        <charset val="204"/>
      </rPr>
      <t xml:space="preserve"> (товаров на единицу капитала в промышленности и сфере услуг)
</t>
    </r>
    <r>
      <rPr>
        <i/>
        <sz val="12"/>
        <color rgb="FF0000FF"/>
        <rFont val="Arial"/>
        <family val="2"/>
        <charset val="204"/>
      </rPr>
      <t>(округляется до целых, со временем сокращается)</t>
    </r>
  </si>
  <si>
    <t>Интерполяция</t>
  </si>
  <si>
    <t>TF16 + TF17 + TF18 = TF15</t>
  </si>
  <si>
    <t>TF9 + TF10 + TF11 + TF12 + TF13 - TF14 = TF15</t>
  </si>
  <si>
    <r>
      <t>= E6</t>
    </r>
    <r>
      <rPr>
        <vertAlign val="subscript"/>
        <sz val="12"/>
        <color rgb="FFFF0000"/>
        <rFont val="Arial"/>
        <family val="2"/>
        <charset val="204"/>
      </rPr>
      <t>тек</t>
    </r>
    <r>
      <rPr>
        <vertAlign val="subscript"/>
        <sz val="12"/>
        <color theme="1"/>
        <rFont val="Arial"/>
        <family val="2"/>
        <charset val="204"/>
      </rPr>
      <t xml:space="preserve"> </t>
    </r>
    <r>
      <rPr>
        <sz val="12"/>
        <color theme="1"/>
        <rFont val="Arial"/>
        <family val="2"/>
        <charset val="204"/>
      </rPr>
      <t>/ 5</t>
    </r>
  </si>
  <si>
    <r>
      <t>= E6</t>
    </r>
    <r>
      <rPr>
        <vertAlign val="subscript"/>
        <sz val="12"/>
        <color rgb="FFFF0000"/>
        <rFont val="Arial"/>
        <family val="2"/>
        <charset val="204"/>
      </rPr>
      <t>тек</t>
    </r>
    <r>
      <rPr>
        <sz val="12"/>
        <color theme="1"/>
        <rFont val="Arial"/>
        <family val="2"/>
        <charset val="204"/>
      </rPr>
      <t xml:space="preserve"> * 4 / 5</t>
    </r>
  </si>
  <si>
    <r>
      <t>= (линейной интерполяцией по Графику E-1 как функция от [E3</t>
    </r>
    <r>
      <rPr>
        <vertAlign val="subscript"/>
        <sz val="12"/>
        <color rgb="FFFF0000"/>
        <rFont val="Arial"/>
        <family val="2"/>
        <charset val="204"/>
      </rPr>
      <t>тек</t>
    </r>
    <r>
      <rPr>
        <sz val="12"/>
        <color theme="1"/>
        <rFont val="Arial"/>
        <family val="2"/>
        <charset val="204"/>
      </rPr>
      <t>, деленного на 1000]) * 1000</t>
    </r>
  </si>
  <si>
    <t>Y/X</t>
  </si>
  <si>
    <r>
      <t>= E17</t>
    </r>
    <r>
      <rPr>
        <vertAlign val="subscript"/>
        <sz val="12"/>
        <color rgb="FFFF0000"/>
        <rFont val="Arial"/>
        <family val="2"/>
        <charset val="204"/>
      </rPr>
      <t>тек</t>
    </r>
    <r>
      <rPr>
        <sz val="12"/>
        <color theme="1"/>
        <rFont val="Arial"/>
        <family val="2"/>
        <charset val="204"/>
      </rPr>
      <t xml:space="preserve"> / E3</t>
    </r>
    <r>
      <rPr>
        <vertAlign val="subscript"/>
        <sz val="12"/>
        <color rgb="FFFF0000"/>
        <rFont val="Arial"/>
        <family val="2"/>
        <charset val="204"/>
      </rPr>
      <t>тек</t>
    </r>
    <r>
      <rPr>
        <sz val="12"/>
        <color rgb="FFFF0000"/>
        <rFont val="Arial"/>
        <family val="2"/>
        <charset val="204"/>
      </rPr>
      <t xml:space="preserve"> в старой версии ошибка, повтор данных прошлого периода</t>
    </r>
  </si>
  <si>
    <r>
      <t>= G6</t>
    </r>
    <r>
      <rPr>
        <vertAlign val="subscript"/>
        <sz val="12"/>
        <color rgb="FFFF0000"/>
        <rFont val="Arial"/>
        <family val="2"/>
        <charset val="204"/>
      </rPr>
      <t>тек</t>
    </r>
    <r>
      <rPr>
        <vertAlign val="subscript"/>
        <sz val="12"/>
        <color theme="1"/>
        <rFont val="Arial"/>
        <family val="2"/>
        <charset val="204"/>
      </rPr>
      <t xml:space="preserve"> </t>
    </r>
    <r>
      <rPr>
        <sz val="12"/>
        <color theme="1"/>
        <rFont val="Arial"/>
        <family val="2"/>
        <charset val="204"/>
      </rPr>
      <t>/ 9</t>
    </r>
  </si>
  <si>
    <r>
      <t>= G6</t>
    </r>
    <r>
      <rPr>
        <vertAlign val="subscript"/>
        <sz val="12"/>
        <color rgb="FFFF0000"/>
        <rFont val="Arial"/>
        <family val="2"/>
        <charset val="204"/>
      </rPr>
      <t>тек</t>
    </r>
    <r>
      <rPr>
        <sz val="12"/>
        <color theme="1"/>
        <rFont val="Arial"/>
        <family val="2"/>
        <charset val="204"/>
      </rPr>
      <t xml:space="preserve"> * 8 / 9</t>
    </r>
  </si>
  <si>
    <r>
      <t>= E1</t>
    </r>
    <r>
      <rPr>
        <vertAlign val="subscript"/>
        <sz val="12"/>
        <color rgb="FFFF0000"/>
        <rFont val="Arial"/>
        <family val="2"/>
        <charset val="204"/>
      </rPr>
      <t>тек</t>
    </r>
    <r>
      <rPr>
        <sz val="12"/>
        <color theme="1"/>
        <rFont val="Arial"/>
        <family val="2"/>
        <charset val="204"/>
      </rPr>
      <t xml:space="preserve"> + E4</t>
    </r>
    <r>
      <rPr>
        <vertAlign val="subscript"/>
        <sz val="12"/>
        <color rgb="FFFF0000"/>
        <rFont val="Arial"/>
        <family val="2"/>
        <charset val="204"/>
      </rPr>
      <t>тек</t>
    </r>
    <r>
      <rPr>
        <sz val="12"/>
        <color theme="1"/>
        <rFont val="Arial"/>
        <family val="2"/>
        <charset val="204"/>
      </rPr>
      <t xml:space="preserve"> + F1</t>
    </r>
    <r>
      <rPr>
        <vertAlign val="subscript"/>
        <sz val="12"/>
        <color rgb="FFFF0000"/>
        <rFont val="Arial"/>
        <family val="2"/>
        <charset val="204"/>
      </rPr>
      <t>тек</t>
    </r>
    <r>
      <rPr>
        <sz val="12"/>
        <color theme="1"/>
        <rFont val="Arial"/>
        <family val="2"/>
        <charset val="204"/>
      </rPr>
      <t xml:space="preserve"> + F4</t>
    </r>
    <r>
      <rPr>
        <vertAlign val="subscript"/>
        <sz val="12"/>
        <color rgb="FFFF0000"/>
        <rFont val="Arial"/>
        <family val="2"/>
        <charset val="204"/>
      </rPr>
      <t>тек</t>
    </r>
    <r>
      <rPr>
        <sz val="12"/>
        <color theme="1"/>
        <rFont val="Arial"/>
        <family val="2"/>
        <charset val="204"/>
      </rPr>
      <t xml:space="preserve"> + G1</t>
    </r>
    <r>
      <rPr>
        <vertAlign val="subscript"/>
        <sz val="12"/>
        <color rgb="FFFF0000"/>
        <rFont val="Arial"/>
        <family val="2"/>
        <charset val="204"/>
      </rPr>
      <t>тек</t>
    </r>
    <r>
      <rPr>
        <sz val="12"/>
        <color theme="1"/>
        <rFont val="Arial"/>
        <family val="2"/>
        <charset val="204"/>
      </rPr>
      <t xml:space="preserve"> + G4</t>
    </r>
    <r>
      <rPr>
        <vertAlign val="subscript"/>
        <sz val="12"/>
        <color rgb="FFFF0000"/>
        <rFont val="Arial"/>
        <family val="2"/>
        <charset val="204"/>
      </rPr>
      <t>тек</t>
    </r>
  </si>
  <si>
    <t>Текущее состояние ОС = предыдущее состояние ОС + восстановление - деградация. Восстановление зависит только от предыдущего состояния ОС по колокольному графику F-4. Деградация (рост загрязнения ОС за год в %) по графику F-3 зависит от некомпенсированного капитала в энергетике, некомпенсированного активного капитала в пр-ве продовольствия и товаров. 1 единица природоохранного капитала может компенсировать 3 единицы производящего капитала: капитала в энергетике, (капитала в пр-ве продовольствия * коэффициент исп-я капитала) и (капитала в пр-ве товаров * коэффициент исп-я капитала)</t>
  </si>
  <si>
    <r>
      <t>Фактическое производство продовольствия (</t>
    </r>
    <r>
      <rPr>
        <sz val="12"/>
        <color rgb="FFFF0000"/>
        <rFont val="Arial"/>
        <family val="2"/>
        <charset val="204"/>
      </rPr>
      <t>т.</t>
    </r>
    <r>
      <rPr>
        <sz val="12"/>
        <color theme="1"/>
        <rFont val="Arial"/>
        <family val="2"/>
        <charset val="204"/>
      </rPr>
      <t>п.)</t>
    </r>
  </si>
  <si>
    <r>
      <t>= (линейной интерполяцией по Графику E-2 как функция от отношения [E6</t>
    </r>
    <r>
      <rPr>
        <vertAlign val="subscript"/>
        <sz val="12"/>
        <color rgb="FFFF0000"/>
        <rFont val="Arial"/>
        <family val="2"/>
        <charset val="204"/>
      </rPr>
      <t>тек</t>
    </r>
    <r>
      <rPr>
        <sz val="12"/>
        <color theme="1"/>
        <rFont val="Arial"/>
        <family val="2"/>
        <charset val="204"/>
      </rPr>
      <t xml:space="preserve"> / (G3</t>
    </r>
    <r>
      <rPr>
        <vertAlign val="subscript"/>
        <sz val="12"/>
        <color rgb="FFFF0000"/>
        <rFont val="Arial"/>
        <family val="2"/>
        <charset val="204"/>
      </rPr>
      <t>тек</t>
    </r>
    <r>
      <rPr>
        <sz val="12"/>
        <color theme="1"/>
        <rFont val="Arial"/>
        <family val="2"/>
        <charset val="204"/>
      </rPr>
      <t xml:space="preserve"> + F3</t>
    </r>
    <r>
      <rPr>
        <vertAlign val="subscript"/>
        <sz val="12"/>
        <color rgb="FFFF0000"/>
        <rFont val="Arial"/>
        <family val="2"/>
        <charset val="204"/>
      </rPr>
      <t>тек</t>
    </r>
    <r>
      <rPr>
        <sz val="12"/>
        <color theme="1"/>
        <rFont val="Arial"/>
        <family val="2"/>
        <charset val="204"/>
      </rPr>
      <t>)], характеризующего эффективность энергосбережения). [Отношение капитала энергосбережения к сумме капиталов с/х и пр-ти]</t>
    </r>
  </si>
  <si>
    <r>
      <t>P11 ≤</t>
    </r>
    <r>
      <rPr>
        <sz val="12"/>
        <color rgb="FFFF0000"/>
        <rFont val="Arial"/>
        <family val="2"/>
        <charset val="204"/>
      </rPr>
      <t xml:space="preserve"> </t>
    </r>
    <r>
      <rPr>
        <strike/>
        <sz val="12"/>
        <color rgb="FFFF0000"/>
        <rFont val="Arial"/>
        <family val="2"/>
        <charset val="204"/>
      </rPr>
      <t>P6</t>
    </r>
    <r>
      <rPr>
        <sz val="12"/>
        <color theme="1"/>
        <rFont val="Arial"/>
        <family val="2"/>
        <charset val="204"/>
      </rPr>
      <t xml:space="preserve"> </t>
    </r>
    <r>
      <rPr>
        <sz val="12"/>
        <color rgb="FF0000FF"/>
        <rFont val="Arial"/>
        <family val="2"/>
        <charset val="204"/>
      </rPr>
      <t>P1</t>
    </r>
    <r>
      <rPr>
        <sz val="12"/>
        <color theme="1"/>
        <rFont val="Arial"/>
        <family val="2"/>
        <charset val="204"/>
      </rPr>
      <t xml:space="preserve"> * 15 * 5</t>
    </r>
  </si>
  <si>
    <r>
      <t>= E24</t>
    </r>
    <r>
      <rPr>
        <vertAlign val="subscript"/>
        <sz val="12"/>
        <color theme="1"/>
        <rFont val="Arial"/>
        <family val="2"/>
        <charset val="204"/>
      </rPr>
      <t>пред</t>
    </r>
    <r>
      <rPr>
        <sz val="12"/>
        <color theme="1"/>
        <rFont val="Arial"/>
        <family val="2"/>
        <charset val="204"/>
      </rPr>
      <t xml:space="preserve"> / (E12</t>
    </r>
    <r>
      <rPr>
        <vertAlign val="subscript"/>
        <sz val="12"/>
        <color theme="1"/>
        <rFont val="Arial"/>
        <family val="2"/>
        <charset val="204"/>
      </rPr>
      <t>пред</t>
    </r>
    <r>
      <rPr>
        <sz val="12"/>
        <color theme="1"/>
        <rFont val="Arial"/>
        <family val="2"/>
        <charset val="204"/>
      </rPr>
      <t>)
Если (E24</t>
    </r>
    <r>
      <rPr>
        <vertAlign val="subscript"/>
        <sz val="12"/>
        <color theme="1"/>
        <rFont val="Arial"/>
        <family val="2"/>
        <charset val="204"/>
      </rPr>
      <t>пред</t>
    </r>
    <r>
      <rPr>
        <sz val="12"/>
        <color theme="1"/>
        <rFont val="Arial"/>
        <family val="2"/>
        <charset val="204"/>
      </rPr>
      <t xml:space="preserve"> / (E12</t>
    </r>
    <r>
      <rPr>
        <vertAlign val="subscript"/>
        <sz val="12"/>
        <color theme="1"/>
        <rFont val="Arial"/>
        <family val="2"/>
        <charset val="204"/>
      </rPr>
      <t>пред</t>
    </r>
    <r>
      <rPr>
        <sz val="12"/>
        <color theme="1"/>
        <rFont val="Arial"/>
        <family val="2"/>
        <charset val="204"/>
      </rPr>
      <t xml:space="preserve">)) &gt; 1,1, то </t>
    </r>
    <r>
      <rPr>
        <sz val="12"/>
        <color rgb="FFFF0000"/>
        <rFont val="Arial"/>
        <family val="2"/>
        <charset val="204"/>
      </rPr>
      <t>F10</t>
    </r>
    <r>
      <rPr>
        <sz val="12"/>
        <color theme="1"/>
        <rFont val="Arial"/>
        <family val="2"/>
        <charset val="204"/>
      </rPr>
      <t xml:space="preserve"> = 1,1</t>
    </r>
  </si>
  <si>
    <r>
      <rPr>
        <sz val="12"/>
        <color rgb="FFFF0000"/>
        <rFont val="Arial"/>
        <family val="2"/>
        <charset val="204"/>
      </rPr>
      <t>Достаточность (или недостаточность) энергии:</t>
    </r>
    <r>
      <rPr>
        <sz val="12"/>
        <rFont val="Arial"/>
        <family val="2"/>
        <charset val="204"/>
      </rPr>
      <t xml:space="preserve"> выражается через Коэффициент использования пром. капитала G11 и Коэффициент использования с/х капитала F10, которые могут составлять максимум 1,1 (110%).</t>
    </r>
  </si>
  <si>
    <r>
      <t>Коэффициент производительности труда от изменения в уровне питания, определяемый линейной интерполяцией по графику F-1 как функция от отношения P4</t>
    </r>
    <r>
      <rPr>
        <vertAlign val="subscript"/>
        <sz val="12"/>
        <color theme="1"/>
        <rFont val="Arial"/>
        <family val="2"/>
        <charset val="204"/>
      </rPr>
      <t>тек</t>
    </r>
    <r>
      <rPr>
        <sz val="12"/>
        <color theme="1"/>
        <rFont val="Arial"/>
        <family val="2"/>
        <charset val="204"/>
      </rPr>
      <t>/P4</t>
    </r>
    <r>
      <rPr>
        <vertAlign val="subscript"/>
        <sz val="12"/>
        <color theme="1"/>
        <rFont val="Arial"/>
        <family val="2"/>
        <charset val="204"/>
      </rPr>
      <t>пред</t>
    </r>
    <r>
      <rPr>
        <sz val="12"/>
        <color theme="1"/>
        <rFont val="Arial"/>
        <family val="2"/>
        <charset val="204"/>
      </rPr>
      <t>, не может превышать 1</t>
    </r>
  </si>
</sst>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0.0000"/>
  </numFmts>
  <fonts count="24">
    <font>
      <sz val="11"/>
      <color theme="1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sz val="12"/>
      <color theme="1"/>
      <name val="Arial"/>
      <family val="2"/>
      <charset val="204"/>
    </font>
    <font>
      <i/>
      <sz val="12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b/>
      <sz val="14"/>
      <color theme="1"/>
      <name val="Arial"/>
      <family val="2"/>
      <charset val="204"/>
    </font>
    <font>
      <vertAlign val="subscript"/>
      <sz val="12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sz val="12"/>
      <color theme="1"/>
      <name val="Times New Roman"/>
      <family val="1"/>
      <charset val="204"/>
    </font>
    <font>
      <b/>
      <sz val="15"/>
      <color theme="1"/>
      <name val="Arial"/>
      <family val="2"/>
      <charset val="204"/>
    </font>
    <font>
      <b/>
      <sz val="16"/>
      <color theme="1"/>
      <name val="Arial"/>
      <family val="2"/>
      <charset val="204"/>
    </font>
    <font>
      <sz val="10"/>
      <color rgb="FF000000"/>
      <name val="Times New Roman"/>
      <family val="1"/>
      <charset val="204"/>
    </font>
    <font>
      <sz val="15"/>
      <color theme="1"/>
      <name val="Arial"/>
      <family val="2"/>
      <charset val="204"/>
    </font>
    <font>
      <sz val="12"/>
      <color rgb="FFFF0000"/>
      <name val="Arial"/>
      <family val="2"/>
      <charset val="204"/>
    </font>
    <font>
      <b/>
      <sz val="12"/>
      <color rgb="FFFF0000"/>
      <name val="Arial"/>
      <family val="2"/>
      <charset val="204"/>
    </font>
    <font>
      <i/>
      <sz val="11"/>
      <color theme="1"/>
      <name val="Arial"/>
      <family val="2"/>
      <charset val="204"/>
    </font>
    <font>
      <vertAlign val="subscript"/>
      <sz val="12"/>
      <name val="Arial"/>
      <family val="2"/>
      <charset val="204"/>
    </font>
    <font>
      <sz val="12"/>
      <name val="Arial"/>
      <family val="2"/>
      <charset val="204"/>
    </font>
    <font>
      <sz val="11"/>
      <name val="Arial"/>
      <family val="2"/>
      <charset val="204"/>
    </font>
    <font>
      <vertAlign val="subscript"/>
      <sz val="12"/>
      <color rgb="FF0000FF"/>
      <name val="Arial"/>
      <family val="2"/>
      <charset val="204"/>
    </font>
    <font>
      <i/>
      <sz val="12"/>
      <color rgb="FF0000FF"/>
      <name val="Arial"/>
      <family val="2"/>
      <charset val="204"/>
    </font>
    <font>
      <sz val="12"/>
      <color rgb="FF0000FF"/>
      <name val="Arial"/>
      <family val="2"/>
      <charset val="204"/>
    </font>
    <font>
      <vertAlign val="subscript"/>
      <sz val="12"/>
      <color rgb="FFFF0000"/>
      <name val="Arial"/>
      <family val="2"/>
      <charset val="204"/>
    </font>
    <font>
      <strike/>
      <sz val="12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16" fontId="3" fillId="0" borderId="0" xfId="0" quotePrefix="1" applyNumberFormat="1" applyFont="1"/>
    <xf numFmtId="0" fontId="3" fillId="0" borderId="0" xfId="0" applyFont="1" applyAlignment="1">
      <alignment horizontal="center" wrapText="1"/>
    </xf>
    <xf numFmtId="0" fontId="3" fillId="0" borderId="0" xfId="0" quotePrefix="1" applyFont="1" applyAlignment="1">
      <alignment horizontal="center"/>
    </xf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0" xfId="0" applyFont="1" applyAlignment="1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4" fillId="2" borderId="1" xfId="0" applyFont="1" applyFill="1" applyBorder="1" applyAlignment="1">
      <alignment horizontal="left"/>
    </xf>
    <xf numFmtId="0" fontId="2" fillId="0" borderId="0" xfId="0" applyFont="1"/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3" fillId="2" borderId="0" xfId="0" applyFont="1" applyFill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right"/>
    </xf>
    <xf numFmtId="0" fontId="3" fillId="0" borderId="1" xfId="0" quotePrefix="1" applyFont="1" applyBorder="1" applyAlignment="1">
      <alignment horizontal="center"/>
    </xf>
    <xf numFmtId="16" fontId="3" fillId="0" borderId="1" xfId="0" quotePrefix="1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0" fontId="7" fillId="0" borderId="0" xfId="0" applyFont="1"/>
    <xf numFmtId="165" fontId="1" fillId="0" borderId="0" xfId="0" applyNumberFormat="1" applyFont="1"/>
    <xf numFmtId="164" fontId="1" fillId="0" borderId="0" xfId="0" applyNumberFormat="1" applyFont="1"/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8" fillId="0" borderId="0" xfId="0" applyFont="1" applyAlignment="1">
      <alignment horizontal="justify"/>
    </xf>
    <xf numFmtId="0" fontId="2" fillId="0" borderId="0" xfId="0" applyFont="1" applyAlignment="1">
      <alignment horizontal="left" vertical="top" wrapText="1"/>
    </xf>
    <xf numFmtId="2" fontId="1" fillId="0" borderId="0" xfId="0" applyNumberFormat="1" applyFont="1"/>
    <xf numFmtId="0" fontId="2" fillId="0" borderId="0" xfId="0" applyFont="1"/>
    <xf numFmtId="0" fontId="5" fillId="0" borderId="0" xfId="0" applyFont="1" applyAlignment="1">
      <alignment horizontal="right"/>
    </xf>
    <xf numFmtId="0" fontId="2" fillId="0" borderId="6" xfId="0" applyFont="1" applyBorder="1"/>
    <xf numFmtId="0" fontId="11" fillId="0" borderId="0" xfId="0" applyFont="1"/>
    <xf numFmtId="0" fontId="2" fillId="0" borderId="1" xfId="0" applyFont="1" applyBorder="1" applyAlignment="1">
      <alignment vertical="center" wrapText="1"/>
    </xf>
    <xf numFmtId="0" fontId="11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vertical="center"/>
    </xf>
    <xf numFmtId="0" fontId="13" fillId="0" borderId="0" xfId="0" applyFont="1"/>
    <xf numFmtId="3" fontId="2" fillId="0" borderId="1" xfId="0" applyNumberFormat="1" applyFont="1" applyBorder="1" applyAlignment="1">
      <alignment horizontal="center"/>
    </xf>
    <xf numFmtId="3" fontId="2" fillId="2" borderId="1" xfId="0" applyNumberFormat="1" applyFont="1" applyFill="1" applyBorder="1" applyAlignment="1">
      <alignment horizontal="center"/>
    </xf>
    <xf numFmtId="3" fontId="2" fillId="0" borderId="1" xfId="0" quotePrefix="1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15" fillId="0" borderId="0" xfId="0" applyFont="1" applyAlignment="1">
      <alignment wrapText="1"/>
    </xf>
    <xf numFmtId="0" fontId="2" fillId="3" borderId="1" xfId="0" applyFont="1" applyFill="1" applyBorder="1" applyAlignment="1">
      <alignment vertical="center"/>
    </xf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2" fillId="3" borderId="1" xfId="0" applyFont="1" applyFill="1" applyBorder="1" applyAlignment="1">
      <alignment vertical="center" wrapText="1"/>
    </xf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/>
    <xf numFmtId="0" fontId="2" fillId="3" borderId="1" xfId="0" applyFont="1" applyFill="1" applyBorder="1" applyAlignment="1">
      <alignment vertical="center" wrapText="1"/>
    </xf>
    <xf numFmtId="0" fontId="13" fillId="0" borderId="0" xfId="0" applyFont="1" applyAlignment="1">
      <alignment vertical="center"/>
    </xf>
    <xf numFmtId="0" fontId="2" fillId="3" borderId="1" xfId="0" quotePrefix="1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 wrapText="1"/>
    </xf>
    <xf numFmtId="0" fontId="2" fillId="0" borderId="1" xfId="0" quotePrefix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5" fillId="0" borderId="0" xfId="0" applyFont="1"/>
    <xf numFmtId="0" fontId="5" fillId="0" borderId="0" xfId="0" applyFont="1" applyAlignment="1">
      <alignment horizontal="left"/>
    </xf>
    <xf numFmtId="1" fontId="1" fillId="0" borderId="0" xfId="0" applyNumberFormat="1" applyFont="1"/>
    <xf numFmtId="0" fontId="17" fillId="0" borderId="1" xfId="0" applyFont="1" applyFill="1" applyBorder="1" applyAlignment="1">
      <alignment vertical="center" wrapText="1"/>
    </xf>
    <xf numFmtId="0" fontId="0" fillId="0" borderId="0" xfId="0" applyFill="1"/>
    <xf numFmtId="0" fontId="11" fillId="0" borderId="0" xfId="0" applyFont="1" applyFill="1"/>
    <xf numFmtId="0" fontId="2" fillId="0" borderId="0" xfId="0" applyFont="1" applyFill="1"/>
    <xf numFmtId="0" fontId="2" fillId="0" borderId="0" xfId="0" applyFont="1"/>
    <xf numFmtId="0" fontId="3" fillId="0" borderId="0" xfId="0" applyFont="1"/>
    <xf numFmtId="0" fontId="2" fillId="0" borderId="1" xfId="0" applyFont="1" applyBorder="1" applyAlignment="1">
      <alignment wrapText="1"/>
    </xf>
    <xf numFmtId="0" fontId="4" fillId="0" borderId="0" xfId="0" applyFont="1" applyBorder="1" applyAlignment="1">
      <alignment horizontal="right"/>
    </xf>
    <xf numFmtId="0" fontId="4" fillId="0" borderId="0" xfId="0" applyFont="1" applyBorder="1" applyAlignment="1">
      <alignment vertical="center"/>
    </xf>
    <xf numFmtId="0" fontId="3" fillId="0" borderId="0" xfId="0" applyFont="1" applyAlignment="1">
      <alignment horizontal="right"/>
    </xf>
    <xf numFmtId="0" fontId="2" fillId="0" borderId="0" xfId="0" applyFont="1" applyFill="1" applyBorder="1" applyAlignment="1">
      <alignment horizontal="center"/>
    </xf>
    <xf numFmtId="0" fontId="4" fillId="0" borderId="1" xfId="0" applyFont="1" applyBorder="1" applyAlignment="1">
      <alignment vertical="center" wrapText="1"/>
    </xf>
    <xf numFmtId="0" fontId="2" fillId="0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13" fillId="0" borderId="1" xfId="0" applyFont="1" applyBorder="1"/>
    <xf numFmtId="0" fontId="14" fillId="0" borderId="1" xfId="0" quotePrefix="1" applyFont="1" applyBorder="1" applyAlignment="1">
      <alignment vertical="center"/>
    </xf>
    <xf numFmtId="0" fontId="13" fillId="0" borderId="1" xfId="0" applyFont="1" applyBorder="1" applyAlignment="1">
      <alignment wrapText="1"/>
    </xf>
    <xf numFmtId="0" fontId="3" fillId="0" borderId="1" xfId="0" quotePrefix="1" applyFont="1" applyFill="1" applyBorder="1" applyAlignment="1">
      <alignment horizontal="center"/>
    </xf>
    <xf numFmtId="16" fontId="3" fillId="0" borderId="1" xfId="0" quotePrefix="1" applyNumberFormat="1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vertical="center" wrapText="1"/>
    </xf>
    <xf numFmtId="0" fontId="3" fillId="0" borderId="5" xfId="0" quotePrefix="1" applyFont="1" applyBorder="1" applyAlignment="1">
      <alignment horizontal="center"/>
    </xf>
    <xf numFmtId="16" fontId="3" fillId="0" borderId="5" xfId="0" quotePrefix="1" applyNumberFormat="1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2" fillId="0" borderId="13" xfId="0" applyFont="1" applyBorder="1"/>
    <xf numFmtId="0" fontId="2" fillId="0" borderId="13" xfId="0" applyFont="1" applyBorder="1" applyAlignment="1">
      <alignment horizontal="center"/>
    </xf>
    <xf numFmtId="165" fontId="2" fillId="0" borderId="13" xfId="0" applyNumberFormat="1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4" fillId="0" borderId="18" xfId="0" applyFont="1" applyBorder="1" applyAlignment="1">
      <alignment horizontal="right"/>
    </xf>
    <xf numFmtId="0" fontId="2" fillId="0" borderId="18" xfId="0" applyFont="1" applyBorder="1"/>
    <xf numFmtId="0" fontId="2" fillId="4" borderId="18" xfId="0" applyFont="1" applyFill="1" applyBorder="1" applyAlignment="1">
      <alignment horizontal="center"/>
    </xf>
    <xf numFmtId="165" fontId="2" fillId="4" borderId="18" xfId="0" applyNumberFormat="1" applyFont="1" applyFill="1" applyBorder="1" applyAlignment="1">
      <alignment horizontal="center"/>
    </xf>
    <xf numFmtId="0" fontId="2" fillId="4" borderId="19" xfId="0" applyFont="1" applyFill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2" fillId="0" borderId="18" xfId="0" applyFont="1" applyFill="1" applyBorder="1" applyAlignment="1">
      <alignment horizontal="center"/>
    </xf>
    <xf numFmtId="0" fontId="2" fillId="0" borderId="19" xfId="0" applyFont="1" applyFill="1" applyBorder="1" applyAlignment="1">
      <alignment horizontal="center"/>
    </xf>
    <xf numFmtId="0" fontId="4" fillId="0" borderId="23" xfId="0" applyFont="1" applyBorder="1" applyAlignment="1">
      <alignment vertical="center"/>
    </xf>
    <xf numFmtId="0" fontId="4" fillId="0" borderId="24" xfId="0" applyFont="1" applyBorder="1" applyAlignment="1">
      <alignment horizontal="center"/>
    </xf>
    <xf numFmtId="0" fontId="2" fillId="0" borderId="24" xfId="0" applyFont="1" applyBorder="1"/>
    <xf numFmtId="0" fontId="2" fillId="0" borderId="24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4" fillId="0" borderId="13" xfId="0" applyFont="1" applyBorder="1" applyAlignment="1">
      <alignment horizontal="center" vertical="center"/>
    </xf>
    <xf numFmtId="0" fontId="2" fillId="0" borderId="13" xfId="0" applyFont="1" applyBorder="1" applyAlignment="1">
      <alignment wrapText="1"/>
    </xf>
    <xf numFmtId="0" fontId="2" fillId="4" borderId="13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0" fontId="2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7" fillId="0" borderId="26" xfId="0" applyFont="1" applyBorder="1" applyAlignment="1">
      <alignment horizontal="center"/>
    </xf>
    <xf numFmtId="0" fontId="7" fillId="0" borderId="27" xfId="0" applyFont="1" applyBorder="1" applyAlignment="1">
      <alignment horizontal="center"/>
    </xf>
    <xf numFmtId="0" fontId="1" fillId="0" borderId="0" xfId="0" applyFont="1" applyBorder="1"/>
    <xf numFmtId="0" fontId="3" fillId="0" borderId="6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5" xfId="0" quotePrefix="1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10" fillId="2" borderId="0" xfId="0" applyFont="1" applyFill="1" applyAlignment="1">
      <alignment horizontal="center"/>
    </xf>
    <xf numFmtId="0" fontId="4" fillId="2" borderId="1" xfId="0" applyFont="1" applyFill="1" applyBorder="1"/>
    <xf numFmtId="0" fontId="3" fillId="0" borderId="0" xfId="0" applyFont="1"/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0" xfId="0" applyFont="1" applyAlignment="1">
      <alignment wrapText="1"/>
    </xf>
    <xf numFmtId="0" fontId="2" fillId="0" borderId="0" xfId="0" applyFont="1" applyBorder="1" applyAlignment="1">
      <alignment wrapText="1"/>
    </xf>
    <xf numFmtId="0" fontId="2" fillId="0" borderId="8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7" xfId="0" applyFont="1" applyBorder="1" applyAlignment="1">
      <alignment wrapText="1"/>
    </xf>
    <xf numFmtId="0" fontId="2" fillId="0" borderId="0" xfId="0" applyFont="1"/>
    <xf numFmtId="0" fontId="9" fillId="0" borderId="0" xfId="0" applyFont="1"/>
    <xf numFmtId="0" fontId="2" fillId="3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17" fillId="3" borderId="1" xfId="0" quotePrefix="1" applyFont="1" applyFill="1" applyBorder="1" applyAlignment="1">
      <alignment vertical="center" wrapText="1"/>
    </xf>
    <xf numFmtId="0" fontId="17" fillId="3" borderId="1" xfId="0" applyFont="1" applyFill="1" applyBorder="1" applyAlignment="1">
      <alignment vertical="center" wrapText="1"/>
    </xf>
    <xf numFmtId="0" fontId="2" fillId="3" borderId="1" xfId="0" quotePrefix="1" applyFont="1" applyFill="1" applyBorder="1" applyAlignment="1">
      <alignment vertical="center" wrapText="1"/>
    </xf>
    <xf numFmtId="0" fontId="2" fillId="3" borderId="2" xfId="0" quotePrefix="1" applyFont="1" applyFill="1" applyBorder="1" applyAlignment="1">
      <alignment vertical="center" wrapText="1"/>
    </xf>
    <xf numFmtId="0" fontId="2" fillId="3" borderId="3" xfId="0" quotePrefix="1" applyFont="1" applyFill="1" applyBorder="1" applyAlignment="1">
      <alignment vertical="center" wrapText="1"/>
    </xf>
    <xf numFmtId="0" fontId="2" fillId="3" borderId="4" xfId="0" quotePrefix="1" applyFont="1" applyFill="1" applyBorder="1" applyAlignment="1">
      <alignment vertical="center" wrapText="1"/>
    </xf>
    <xf numFmtId="0" fontId="2" fillId="3" borderId="5" xfId="0" quotePrefix="1" applyFont="1" applyFill="1" applyBorder="1" applyAlignment="1">
      <alignment vertical="center" wrapText="1"/>
    </xf>
    <xf numFmtId="0" fontId="2" fillId="3" borderId="5" xfId="0" applyFont="1" applyFill="1" applyBorder="1" applyAlignment="1">
      <alignment vertical="center" wrapText="1"/>
    </xf>
    <xf numFmtId="0" fontId="17" fillId="3" borderId="5" xfId="0" quotePrefix="1" applyFont="1" applyFill="1" applyBorder="1" applyAlignment="1">
      <alignment vertical="center" wrapText="1"/>
    </xf>
    <xf numFmtId="0" fontId="17" fillId="3" borderId="5" xfId="0" applyFont="1" applyFill="1" applyBorder="1" applyAlignment="1">
      <alignment vertical="center" wrapText="1"/>
    </xf>
    <xf numFmtId="0" fontId="17" fillId="0" borderId="2" xfId="0" applyFont="1" applyFill="1" applyBorder="1" applyAlignment="1">
      <alignment vertical="center" wrapText="1"/>
    </xf>
    <xf numFmtId="0" fontId="17" fillId="0" borderId="3" xfId="0" applyFont="1" applyFill="1" applyBorder="1" applyAlignment="1">
      <alignment vertical="center" wrapText="1"/>
    </xf>
    <xf numFmtId="0" fontId="17" fillId="0" borderId="4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2" fillId="0" borderId="6" xfId="0" applyFont="1" applyBorder="1" applyAlignment="1">
      <alignment wrapText="1"/>
    </xf>
    <xf numFmtId="0" fontId="17" fillId="3" borderId="2" xfId="0" applyFont="1" applyFill="1" applyBorder="1" applyAlignment="1">
      <alignment vertical="center" wrapText="1"/>
    </xf>
    <xf numFmtId="0" fontId="17" fillId="3" borderId="3" xfId="0" applyFont="1" applyFill="1" applyBorder="1" applyAlignment="1">
      <alignment vertical="center" wrapText="1"/>
    </xf>
    <xf numFmtId="0" fontId="17" fillId="3" borderId="4" xfId="0" applyFont="1" applyFill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/>
    </xf>
    <xf numFmtId="0" fontId="9" fillId="0" borderId="0" xfId="0" applyFont="1" applyAlignment="1">
      <alignment horizontal="left" wrapText="1"/>
    </xf>
    <xf numFmtId="0" fontId="2" fillId="0" borderId="2" xfId="0" quotePrefix="1" applyFont="1" applyFill="1" applyBorder="1" applyAlignment="1">
      <alignment vertical="center" wrapText="1"/>
    </xf>
    <xf numFmtId="0" fontId="2" fillId="0" borderId="3" xfId="0" quotePrefix="1" applyFont="1" applyFill="1" applyBorder="1" applyAlignment="1">
      <alignment vertical="center" wrapText="1"/>
    </xf>
    <xf numFmtId="0" fontId="2" fillId="0" borderId="4" xfId="0" quotePrefix="1" applyFont="1" applyFill="1" applyBorder="1" applyAlignment="1">
      <alignment vertical="center" wrapText="1"/>
    </xf>
    <xf numFmtId="0" fontId="2" fillId="0" borderId="2" xfId="0" applyFont="1" applyFill="1" applyBorder="1" applyAlignment="1">
      <alignment vertical="center" wrapText="1"/>
    </xf>
    <xf numFmtId="0" fontId="2" fillId="0" borderId="3" xfId="0" applyFont="1" applyFill="1" applyBorder="1" applyAlignment="1">
      <alignment vertical="center" wrapText="1"/>
    </xf>
    <xf numFmtId="0" fontId="2" fillId="0" borderId="4" xfId="0" applyFont="1" applyFill="1" applyBorder="1" applyAlignment="1">
      <alignment vertical="center" wrapText="1"/>
    </xf>
    <xf numFmtId="0" fontId="2" fillId="0" borderId="1" xfId="0" quotePrefix="1" applyFont="1" applyFill="1" applyBorder="1" applyAlignment="1">
      <alignment vertical="center" wrapText="1"/>
    </xf>
    <xf numFmtId="0" fontId="10" fillId="2" borderId="0" xfId="0" applyFont="1" applyFill="1" applyAlignment="1">
      <alignment horizontal="center" vertical="center"/>
    </xf>
    <xf numFmtId="0" fontId="2" fillId="0" borderId="5" xfId="0" quotePrefix="1" applyFont="1" applyFill="1" applyBorder="1" applyAlignment="1">
      <alignment vertical="center" wrapText="1"/>
    </xf>
    <xf numFmtId="0" fontId="2" fillId="0" borderId="5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wrapText="1"/>
    </xf>
    <xf numFmtId="0" fontId="9" fillId="0" borderId="0" xfId="0" applyFont="1" applyAlignment="1">
      <alignment horizontal="left" vertical="center" wrapText="1"/>
    </xf>
    <xf numFmtId="0" fontId="4" fillId="0" borderId="12" xfId="0" applyFont="1" applyBorder="1" applyAlignment="1">
      <alignment vertical="center"/>
    </xf>
    <xf numFmtId="0" fontId="4" fillId="0" borderId="15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4" fillId="0" borderId="20" xfId="0" applyFont="1" applyBorder="1" applyAlignment="1">
      <alignment vertical="center"/>
    </xf>
    <xf numFmtId="0" fontId="4" fillId="0" borderId="21" xfId="0" applyFont="1" applyBorder="1" applyAlignment="1">
      <alignment vertical="center"/>
    </xf>
    <xf numFmtId="0" fontId="4" fillId="0" borderId="22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4" fillId="0" borderId="20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1" fillId="0" borderId="0" xfId="0" applyFont="1" applyBorder="1"/>
    <xf numFmtId="0" fontId="1" fillId="5" borderId="0" xfId="0" applyFont="1" applyFill="1" applyBorder="1"/>
    <xf numFmtId="3" fontId="13" fillId="0" borderId="1" xfId="0" applyNumberFormat="1" applyFont="1" applyBorder="1" applyAlignment="1">
      <alignment horizontal="center"/>
    </xf>
    <xf numFmtId="0" fontId="14" fillId="2" borderId="1" xfId="0" applyFont="1" applyFill="1" applyBorder="1"/>
    <xf numFmtId="0" fontId="13" fillId="0" borderId="1" xfId="0" applyFont="1" applyBorder="1" applyAlignment="1">
      <alignment horizontal="center"/>
    </xf>
    <xf numFmtId="166" fontId="1" fillId="5" borderId="0" xfId="0" applyNumberFormat="1" applyFont="1" applyFill="1" applyBorder="1"/>
    <xf numFmtId="2" fontId="2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65" fontId="2" fillId="0" borderId="0" xfId="0" applyNumberFormat="1" applyFont="1"/>
    <xf numFmtId="2" fontId="2" fillId="0" borderId="0" xfId="0" applyNumberFormat="1" applyFont="1"/>
    <xf numFmtId="1" fontId="2" fillId="0" borderId="0" xfId="0" applyNumberFormat="1" applyFont="1"/>
    <xf numFmtId="2" fontId="2" fillId="0" borderId="1" xfId="0" applyNumberFormat="1" applyFont="1" applyFill="1" applyBorder="1" applyAlignment="1">
      <alignment horizontal="center"/>
    </xf>
    <xf numFmtId="1" fontId="2" fillId="0" borderId="1" xfId="0" applyNumberFormat="1" applyFont="1" applyFill="1" applyBorder="1" applyAlignment="1">
      <alignment horizontal="center"/>
    </xf>
    <xf numFmtId="1" fontId="2" fillId="2" borderId="1" xfId="0" applyNumberFormat="1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0000FF"/>
      <color rgb="FF66CCFF"/>
      <color rgb="FFFFFF99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autoTitleDeleted val="1"/>
    <c:plotArea>
      <c:layout/>
      <c:scatterChart>
        <c:scatterStyle val="lineMarker"/>
        <c:ser>
          <c:idx val="0"/>
          <c:order val="0"/>
          <c:tx>
            <c:strRef>
              <c:f>'График P-1'!$C$3</c:f>
              <c:strCache>
                <c:ptCount val="1"/>
                <c:pt idx="0">
                  <c:v>Y</c:v>
                </c:pt>
              </c:strCache>
            </c:strRef>
          </c:tx>
          <c:xVal>
            <c:numRef>
              <c:f>'График P-1'!$D$2:$N$2</c:f>
              <c:numCache>
                <c:formatCode>0.0</c:formatCode>
                <c:ptCount val="11"/>
                <c:pt idx="0">
                  <c:v>0</c:v>
                </c:pt>
                <c:pt idx="1">
                  <c:v>1.5</c:v>
                </c:pt>
                <c:pt idx="2">
                  <c:v>3</c:v>
                </c:pt>
                <c:pt idx="3">
                  <c:v>4.5</c:v>
                </c:pt>
                <c:pt idx="4">
                  <c:v>6</c:v>
                </c:pt>
                <c:pt idx="5">
                  <c:v>7.5</c:v>
                </c:pt>
                <c:pt idx="6">
                  <c:v>9</c:v>
                </c:pt>
                <c:pt idx="7">
                  <c:v>10.5</c:v>
                </c:pt>
                <c:pt idx="8">
                  <c:v>12</c:v>
                </c:pt>
                <c:pt idx="9">
                  <c:v>13.5</c:v>
                </c:pt>
                <c:pt idx="10">
                  <c:v>15</c:v>
                </c:pt>
              </c:numCache>
            </c:numRef>
          </c:xVal>
          <c:yVal>
            <c:numRef>
              <c:f>'График P-1'!$D$3:$N$3</c:f>
              <c:numCache>
                <c:formatCode>0.000</c:formatCode>
                <c:ptCount val="11"/>
                <c:pt idx="0">
                  <c:v>0.03</c:v>
                </c:pt>
                <c:pt idx="1">
                  <c:v>2.8000000000000001E-2</c:v>
                </c:pt>
                <c:pt idx="2">
                  <c:v>2.5999999999999999E-2</c:v>
                </c:pt>
                <c:pt idx="3">
                  <c:v>2.4E-2</c:v>
                </c:pt>
                <c:pt idx="4">
                  <c:v>2.1999999999999999E-2</c:v>
                </c:pt>
                <c:pt idx="5">
                  <c:v>1.9E-2</c:v>
                </c:pt>
                <c:pt idx="6">
                  <c:v>1.6E-2</c:v>
                </c:pt>
                <c:pt idx="7">
                  <c:v>1.2999999999999999E-2</c:v>
                </c:pt>
                <c:pt idx="8">
                  <c:v>1.0999999999999999E-2</c:v>
                </c:pt>
                <c:pt idx="9">
                  <c:v>0.01</c:v>
                </c:pt>
                <c:pt idx="10">
                  <c:v>0.01</c:v>
                </c:pt>
              </c:numCache>
            </c:numRef>
          </c:yVal>
        </c:ser>
        <c:axId val="94698880"/>
        <c:axId val="94721152"/>
      </c:scatterChart>
      <c:valAx>
        <c:axId val="94698880"/>
        <c:scaling>
          <c:orientation val="minMax"/>
          <c:max val="15"/>
          <c:min val="0"/>
        </c:scaling>
        <c:axPos val="b"/>
        <c:majorGridlines/>
        <c:numFmt formatCode="0.0" sourceLinked="1"/>
        <c:tickLblPos val="nextTo"/>
        <c:crossAx val="94721152"/>
        <c:crosses val="autoZero"/>
        <c:crossBetween val="midCat"/>
        <c:majorUnit val="3"/>
      </c:valAx>
      <c:valAx>
        <c:axId val="94721152"/>
        <c:scaling>
          <c:orientation val="minMax"/>
          <c:max val="4.0000000000000022E-2"/>
          <c:min val="0"/>
        </c:scaling>
        <c:axPos val="l"/>
        <c:majorGridlines/>
        <c:numFmt formatCode="0.000" sourceLinked="1"/>
        <c:tickLblPos val="nextTo"/>
        <c:crossAx val="94698880"/>
        <c:crosses val="autoZero"/>
        <c:crossBetween val="midCat"/>
        <c:majorUnit val="1.0000000000000005E-2"/>
      </c:valAx>
    </c:plotArea>
    <c:plotVisOnly val="1"/>
  </c:chart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autoTitleDeleted val="1"/>
    <c:plotArea>
      <c:layout/>
      <c:scatterChart>
        <c:scatterStyle val="lineMarker"/>
        <c:ser>
          <c:idx val="0"/>
          <c:order val="0"/>
          <c:tx>
            <c:strRef>
              <c:f>'График P-2'!$C$3</c:f>
              <c:strCache>
                <c:ptCount val="1"/>
                <c:pt idx="0">
                  <c:v>Y</c:v>
                </c:pt>
              </c:strCache>
            </c:strRef>
          </c:tx>
          <c:xVal>
            <c:numRef>
              <c:f>'График P-2'!$D$2:$N$2</c:f>
              <c:numCache>
                <c:formatCode>0.0</c:formatCode>
                <c:ptCount val="1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</c:numCache>
            </c:numRef>
          </c:xVal>
          <c:yVal>
            <c:numRef>
              <c:f>'График P-2'!$D$3:$N$3</c:f>
              <c:numCache>
                <c:formatCode>0.000</c:formatCode>
                <c:ptCount val="11"/>
                <c:pt idx="0">
                  <c:v>1</c:v>
                </c:pt>
                <c:pt idx="1">
                  <c:v>1.5</c:v>
                </c:pt>
                <c:pt idx="2">
                  <c:v>1.45</c:v>
                </c:pt>
                <c:pt idx="3">
                  <c:v>1.4</c:v>
                </c:pt>
                <c:pt idx="4">
                  <c:v>1.35</c:v>
                </c:pt>
                <c:pt idx="5">
                  <c:v>1.3</c:v>
                </c:pt>
                <c:pt idx="6">
                  <c:v>1.2</c:v>
                </c:pt>
                <c:pt idx="7">
                  <c:v>1.1000000000000001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yVal>
        </c:ser>
        <c:axId val="94761344"/>
        <c:axId val="94762880"/>
      </c:scatterChart>
      <c:valAx>
        <c:axId val="94761344"/>
        <c:scaling>
          <c:orientation val="minMax"/>
          <c:max val="20"/>
          <c:min val="0"/>
        </c:scaling>
        <c:axPos val="b"/>
        <c:majorGridlines/>
        <c:numFmt formatCode="0.0" sourceLinked="1"/>
        <c:tickLblPos val="nextTo"/>
        <c:crossAx val="94762880"/>
        <c:crosses val="autoZero"/>
        <c:crossBetween val="midCat"/>
        <c:majorUnit val="4"/>
      </c:valAx>
      <c:valAx>
        <c:axId val="94762880"/>
        <c:scaling>
          <c:orientation val="minMax"/>
          <c:max val="1.6"/>
          <c:min val="0"/>
        </c:scaling>
        <c:axPos val="l"/>
        <c:majorGridlines/>
        <c:numFmt formatCode="0.000" sourceLinked="1"/>
        <c:tickLblPos val="nextTo"/>
        <c:crossAx val="94761344"/>
        <c:crosses val="autoZero"/>
        <c:crossBetween val="midCat"/>
        <c:majorUnit val="0.4"/>
        <c:minorUnit val="0.2"/>
      </c:valAx>
    </c:plotArea>
    <c:plotVisOnly val="1"/>
  </c:chart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autoTitleDeleted val="1"/>
    <c:plotArea>
      <c:layout/>
      <c:scatterChart>
        <c:scatterStyle val="lineMarker"/>
        <c:ser>
          <c:idx val="0"/>
          <c:order val="0"/>
          <c:tx>
            <c:strRef>
              <c:f>'График P-3'!$C$3</c:f>
              <c:strCache>
                <c:ptCount val="1"/>
                <c:pt idx="0">
                  <c:v>Y</c:v>
                </c:pt>
              </c:strCache>
            </c:strRef>
          </c:tx>
          <c:xVal>
            <c:numRef>
              <c:f>'График P-3'!$D$2:$N$2</c:f>
              <c:numCache>
                <c:formatCode>0.0</c:formatCode>
                <c:ptCount val="1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</c:numCache>
            </c:numRef>
          </c:xVal>
          <c:yVal>
            <c:numRef>
              <c:f>'График P-3'!$D$3:$N$3</c:f>
              <c:numCache>
                <c:formatCode>0.000</c:formatCode>
                <c:ptCount val="11"/>
                <c:pt idx="0">
                  <c:v>0.06</c:v>
                </c:pt>
                <c:pt idx="1">
                  <c:v>4.4999999999999998E-2</c:v>
                </c:pt>
                <c:pt idx="2">
                  <c:v>0.03</c:v>
                </c:pt>
                <c:pt idx="3">
                  <c:v>2.1999999999999999E-2</c:v>
                </c:pt>
                <c:pt idx="4">
                  <c:v>1.7999999999999999E-2</c:v>
                </c:pt>
                <c:pt idx="5">
                  <c:v>1.4999999999999999E-2</c:v>
                </c:pt>
                <c:pt idx="6">
                  <c:v>1.2999999999999999E-2</c:v>
                </c:pt>
                <c:pt idx="7">
                  <c:v>1.2E-2</c:v>
                </c:pt>
                <c:pt idx="8">
                  <c:v>1.0999999999999999E-2</c:v>
                </c:pt>
                <c:pt idx="9">
                  <c:v>0.01</c:v>
                </c:pt>
                <c:pt idx="10">
                  <c:v>0.01</c:v>
                </c:pt>
              </c:numCache>
            </c:numRef>
          </c:yVal>
        </c:ser>
        <c:axId val="94901376"/>
        <c:axId val="94902912"/>
      </c:scatterChart>
      <c:valAx>
        <c:axId val="94901376"/>
        <c:scaling>
          <c:orientation val="minMax"/>
          <c:max val="5"/>
          <c:min val="0"/>
        </c:scaling>
        <c:axPos val="b"/>
        <c:majorGridlines/>
        <c:numFmt formatCode="0.0" sourceLinked="1"/>
        <c:tickLblPos val="nextTo"/>
        <c:crossAx val="94902912"/>
        <c:crosses val="autoZero"/>
        <c:crossBetween val="midCat"/>
        <c:majorUnit val="1"/>
      </c:valAx>
      <c:valAx>
        <c:axId val="94902912"/>
        <c:scaling>
          <c:orientation val="minMax"/>
          <c:max val="8.0000000000000043E-2"/>
          <c:min val="0"/>
        </c:scaling>
        <c:axPos val="l"/>
        <c:majorGridlines/>
        <c:numFmt formatCode="0.000" sourceLinked="1"/>
        <c:tickLblPos val="nextTo"/>
        <c:crossAx val="94901376"/>
        <c:crosses val="autoZero"/>
        <c:crossBetween val="midCat"/>
        <c:majorUnit val="2.0000000000000011E-2"/>
      </c:valAx>
    </c:plotArea>
    <c:plotVisOnly val="1"/>
  </c:chart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autoTitleDeleted val="1"/>
    <c:plotArea>
      <c:layout/>
      <c:scatterChart>
        <c:scatterStyle val="lineMarker"/>
        <c:ser>
          <c:idx val="0"/>
          <c:order val="0"/>
          <c:tx>
            <c:strRef>
              <c:f>'График P-4'!$C$3</c:f>
              <c:strCache>
                <c:ptCount val="1"/>
                <c:pt idx="0">
                  <c:v>Y</c:v>
                </c:pt>
              </c:strCache>
            </c:strRef>
          </c:tx>
          <c:xVal>
            <c:numRef>
              <c:f>'График P-4'!$D$2:$N$2</c:f>
              <c:numCache>
                <c:formatCode>0.0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'График P-4'!$D$3:$N$3</c:f>
              <c:numCache>
                <c:formatCode>0.00</c:formatCode>
                <c:ptCount val="11"/>
                <c:pt idx="0">
                  <c:v>1.75</c:v>
                </c:pt>
                <c:pt idx="1">
                  <c:v>1.6</c:v>
                </c:pt>
                <c:pt idx="2">
                  <c:v>1.5</c:v>
                </c:pt>
                <c:pt idx="3">
                  <c:v>1.4</c:v>
                </c:pt>
                <c:pt idx="4">
                  <c:v>1.3</c:v>
                </c:pt>
                <c:pt idx="5">
                  <c:v>1.2</c:v>
                </c:pt>
                <c:pt idx="6">
                  <c:v>1.1000000000000001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yVal>
        </c:ser>
        <c:axId val="94955392"/>
        <c:axId val="94956928"/>
      </c:scatterChart>
      <c:valAx>
        <c:axId val="94955392"/>
        <c:scaling>
          <c:orientation val="minMax"/>
          <c:max val="1"/>
          <c:min val="0"/>
        </c:scaling>
        <c:axPos val="b"/>
        <c:majorGridlines/>
        <c:numFmt formatCode="0.0" sourceLinked="1"/>
        <c:tickLblPos val="nextTo"/>
        <c:crossAx val="94956928"/>
        <c:crosses val="autoZero"/>
        <c:crossBetween val="midCat"/>
        <c:majorUnit val="0.2"/>
      </c:valAx>
      <c:valAx>
        <c:axId val="94956928"/>
        <c:scaling>
          <c:orientation val="minMax"/>
          <c:max val="2"/>
          <c:min val="0"/>
        </c:scaling>
        <c:axPos val="l"/>
        <c:majorGridlines/>
        <c:numFmt formatCode="0.00" sourceLinked="1"/>
        <c:tickLblPos val="nextTo"/>
        <c:crossAx val="94955392"/>
        <c:crosses val="autoZero"/>
        <c:crossBetween val="midCat"/>
        <c:majorUnit val="0.5"/>
      </c:valAx>
    </c:plotArea>
    <c:plotVisOnly val="1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autoTitleDeleted val="1"/>
    <c:plotArea>
      <c:layout/>
      <c:scatterChart>
        <c:scatterStyle val="lineMarker"/>
        <c:ser>
          <c:idx val="0"/>
          <c:order val="0"/>
          <c:tx>
            <c:strRef>
              <c:f>'График E-1'!$C$3</c:f>
              <c:strCache>
                <c:ptCount val="1"/>
                <c:pt idx="0">
                  <c:v>Y</c:v>
                </c:pt>
              </c:strCache>
            </c:strRef>
          </c:tx>
          <c:xVal>
            <c:numRef>
              <c:f>'График E-1'!$D$2:$N$2</c:f>
              <c:numCache>
                <c:formatCode>0.0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'График E-1'!$D$3:$N$3</c:f>
              <c:numCache>
                <c:formatCode>0.0</c:formatCode>
                <c:ptCount val="11"/>
                <c:pt idx="0">
                  <c:v>0.03</c:v>
                </c:pt>
                <c:pt idx="1">
                  <c:v>17.5</c:v>
                </c:pt>
                <c:pt idx="2">
                  <c:v>20</c:v>
                </c:pt>
                <c:pt idx="3">
                  <c:v>22.5</c:v>
                </c:pt>
                <c:pt idx="4">
                  <c:v>25</c:v>
                </c:pt>
                <c:pt idx="5">
                  <c:v>27.5</c:v>
                </c:pt>
                <c:pt idx="6">
                  <c:v>30</c:v>
                </c:pt>
                <c:pt idx="7">
                  <c:v>32</c:v>
                </c:pt>
                <c:pt idx="8">
                  <c:v>33.5</c:v>
                </c:pt>
                <c:pt idx="9">
                  <c:v>34.5</c:v>
                </c:pt>
                <c:pt idx="10">
                  <c:v>35</c:v>
                </c:pt>
              </c:numCache>
            </c:numRef>
          </c:yVal>
        </c:ser>
        <c:axId val="96319744"/>
        <c:axId val="96329728"/>
      </c:scatterChart>
      <c:valAx>
        <c:axId val="96319744"/>
        <c:scaling>
          <c:orientation val="minMax"/>
          <c:max val="10"/>
          <c:min val="0"/>
        </c:scaling>
        <c:axPos val="b"/>
        <c:majorGridlines/>
        <c:numFmt formatCode="0.0" sourceLinked="1"/>
        <c:tickLblPos val="nextTo"/>
        <c:crossAx val="96329728"/>
        <c:crosses val="autoZero"/>
        <c:crossBetween val="midCat"/>
        <c:majorUnit val="2"/>
      </c:valAx>
      <c:valAx>
        <c:axId val="96329728"/>
        <c:scaling>
          <c:orientation val="minMax"/>
          <c:max val="40"/>
          <c:min val="0"/>
        </c:scaling>
        <c:axPos val="l"/>
        <c:majorGridlines/>
        <c:numFmt formatCode="0.0" sourceLinked="1"/>
        <c:tickLblPos val="nextTo"/>
        <c:crossAx val="96319744"/>
        <c:crosses val="autoZero"/>
        <c:crossBetween val="midCat"/>
        <c:majorUnit val="10"/>
        <c:minorUnit val="5"/>
      </c:valAx>
    </c:plotArea>
    <c:plotVisOnly val="1"/>
  </c:chart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autoTitleDeleted val="1"/>
    <c:plotArea>
      <c:layout/>
      <c:scatterChart>
        <c:scatterStyle val="lineMarker"/>
        <c:ser>
          <c:idx val="0"/>
          <c:order val="0"/>
          <c:tx>
            <c:strRef>
              <c:f>'График E-2'!$C$3</c:f>
              <c:strCache>
                <c:ptCount val="1"/>
                <c:pt idx="0">
                  <c:v>Y</c:v>
                </c:pt>
              </c:strCache>
            </c:strRef>
          </c:tx>
          <c:xVal>
            <c:numRef>
              <c:f>'График E-2'!$D$2:$N$2</c:f>
              <c:numCache>
                <c:formatCode>0.0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'График E-2'!$D$3:$N$3</c:f>
              <c:numCache>
                <c:formatCode>0.00</c:formatCode>
                <c:ptCount val="11"/>
                <c:pt idx="0">
                  <c:v>1</c:v>
                </c:pt>
                <c:pt idx="1">
                  <c:v>0.8</c:v>
                </c:pt>
                <c:pt idx="2">
                  <c:v>0.7</c:v>
                </c:pt>
                <c:pt idx="3">
                  <c:v>0.57999999999999996</c:v>
                </c:pt>
                <c:pt idx="4">
                  <c:v>0.5</c:v>
                </c:pt>
                <c:pt idx="5">
                  <c:v>0.42</c:v>
                </c:pt>
                <c:pt idx="6">
                  <c:v>0.4</c:v>
                </c:pt>
                <c:pt idx="7">
                  <c:v>0.35</c:v>
                </c:pt>
                <c:pt idx="8">
                  <c:v>0.33</c:v>
                </c:pt>
                <c:pt idx="9">
                  <c:v>0.31</c:v>
                </c:pt>
                <c:pt idx="10">
                  <c:v>0.3</c:v>
                </c:pt>
              </c:numCache>
            </c:numRef>
          </c:yVal>
        </c:ser>
        <c:axId val="97831936"/>
        <c:axId val="97833728"/>
      </c:scatterChart>
      <c:valAx>
        <c:axId val="97831936"/>
        <c:scaling>
          <c:orientation val="minMax"/>
          <c:max val="1"/>
          <c:min val="0"/>
        </c:scaling>
        <c:axPos val="b"/>
        <c:majorGridlines/>
        <c:numFmt formatCode="0.0" sourceLinked="1"/>
        <c:minorTickMark val="out"/>
        <c:tickLblPos val="nextTo"/>
        <c:crossAx val="97833728"/>
        <c:crosses val="autoZero"/>
        <c:crossBetween val="midCat"/>
        <c:majorUnit val="0.2"/>
        <c:minorUnit val="0.1"/>
      </c:valAx>
      <c:valAx>
        <c:axId val="97833728"/>
        <c:scaling>
          <c:orientation val="minMax"/>
          <c:max val="1"/>
          <c:min val="0"/>
        </c:scaling>
        <c:axPos val="l"/>
        <c:majorGridlines/>
        <c:numFmt formatCode="0.00" sourceLinked="1"/>
        <c:tickLblPos val="nextTo"/>
        <c:crossAx val="97831936"/>
        <c:crosses val="autoZero"/>
        <c:crossBetween val="midCat"/>
        <c:majorUnit val="0.25"/>
        <c:minorUnit val="0.1"/>
      </c:valAx>
      <c:spPr>
        <a:noFill/>
        <a:ln w="25400">
          <a:noFill/>
        </a:ln>
      </c:spPr>
    </c:plotArea>
    <c:plotVisOnly val="1"/>
  </c:chart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autoTitleDeleted val="1"/>
    <c:plotArea>
      <c:layout/>
      <c:scatterChart>
        <c:scatterStyle val="lineMarker"/>
        <c:ser>
          <c:idx val="0"/>
          <c:order val="0"/>
          <c:tx>
            <c:strRef>
              <c:f>'График G-1'!$C$3</c:f>
              <c:strCache>
                <c:ptCount val="1"/>
                <c:pt idx="0">
                  <c:v>Y</c:v>
                </c:pt>
              </c:strCache>
            </c:strRef>
          </c:tx>
          <c:xVal>
            <c:numRef>
              <c:f>'График G-1'!$D$2:$N$2</c:f>
              <c:numCache>
                <c:formatCode>0.0</c:formatCode>
                <c:ptCount val="1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</c:numCache>
            </c:numRef>
          </c:xVal>
          <c:yVal>
            <c:numRef>
              <c:f>'График G-1'!$D$3:$N$3</c:f>
              <c:numCache>
                <c:formatCode>0.00</c:formatCode>
                <c:ptCount val="11"/>
                <c:pt idx="0">
                  <c:v>0.4</c:v>
                </c:pt>
                <c:pt idx="1">
                  <c:v>0.52</c:v>
                </c:pt>
                <c:pt idx="2">
                  <c:v>0.64</c:v>
                </c:pt>
                <c:pt idx="3">
                  <c:v>0.76</c:v>
                </c:pt>
                <c:pt idx="4">
                  <c:v>0.88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yVal>
        </c:ser>
        <c:axId val="110723072"/>
        <c:axId val="110724608"/>
      </c:scatterChart>
      <c:valAx>
        <c:axId val="110723072"/>
        <c:scaling>
          <c:orientation val="minMax"/>
          <c:max val="2"/>
          <c:min val="0"/>
        </c:scaling>
        <c:axPos val="b"/>
        <c:majorGridlines/>
        <c:numFmt formatCode="0.0" sourceLinked="1"/>
        <c:tickLblPos val="nextTo"/>
        <c:crossAx val="110724608"/>
        <c:crosses val="autoZero"/>
        <c:crossBetween val="midCat"/>
        <c:majorUnit val="0.4"/>
      </c:valAx>
      <c:valAx>
        <c:axId val="110724608"/>
        <c:scaling>
          <c:orientation val="minMax"/>
          <c:max val="1"/>
          <c:min val="0"/>
        </c:scaling>
        <c:axPos val="l"/>
        <c:majorGridlines/>
        <c:numFmt formatCode="0.00" sourceLinked="1"/>
        <c:tickLblPos val="nextTo"/>
        <c:crossAx val="110723072"/>
        <c:crosses val="autoZero"/>
        <c:crossBetween val="midCat"/>
        <c:majorUnit val="0.25"/>
        <c:minorUnit val="0.1"/>
      </c:valAx>
    </c:plotArea>
    <c:plotVisOnly val="1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autoTitleDeleted val="1"/>
    <c:plotArea>
      <c:layout/>
      <c:scatterChart>
        <c:scatterStyle val="lineMarker"/>
        <c:ser>
          <c:idx val="0"/>
          <c:order val="0"/>
          <c:tx>
            <c:strRef>
              <c:f>'График G-2'!$C$3</c:f>
              <c:strCache>
                <c:ptCount val="1"/>
                <c:pt idx="0">
                  <c:v>Y</c:v>
                </c:pt>
              </c:strCache>
            </c:strRef>
          </c:tx>
          <c:xVal>
            <c:numRef>
              <c:f>'График G-2'!$D$2:$N$2</c:f>
              <c:numCache>
                <c:formatCode>0.0</c:formatCode>
                <c:ptCount val="1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</c:numCache>
            </c:numRef>
          </c:xVal>
          <c:yVal>
            <c:numRef>
              <c:f>'График G-2'!$D$3:$N$3</c:f>
              <c:numCache>
                <c:formatCode>0.0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4.3</c:v>
                </c:pt>
                <c:pt idx="6">
                  <c:v>4.5</c:v>
                </c:pt>
                <c:pt idx="7">
                  <c:v>4.7</c:v>
                </c:pt>
                <c:pt idx="8">
                  <c:v>4.8</c:v>
                </c:pt>
                <c:pt idx="9">
                  <c:v>4.9000000000000004</c:v>
                </c:pt>
                <c:pt idx="10">
                  <c:v>5</c:v>
                </c:pt>
              </c:numCache>
            </c:numRef>
          </c:yVal>
        </c:ser>
        <c:axId val="111096576"/>
        <c:axId val="111098112"/>
      </c:scatterChart>
      <c:valAx>
        <c:axId val="111096576"/>
        <c:scaling>
          <c:orientation val="minMax"/>
          <c:max val="20"/>
          <c:min val="0"/>
        </c:scaling>
        <c:axPos val="b"/>
        <c:majorGridlines/>
        <c:numFmt formatCode="0.0" sourceLinked="1"/>
        <c:tickLblPos val="nextTo"/>
        <c:crossAx val="111098112"/>
        <c:crosses val="autoZero"/>
        <c:crossBetween val="midCat"/>
        <c:majorUnit val="4"/>
      </c:valAx>
      <c:valAx>
        <c:axId val="111098112"/>
        <c:scaling>
          <c:orientation val="minMax"/>
          <c:max val="5"/>
          <c:min val="0"/>
        </c:scaling>
        <c:axPos val="l"/>
        <c:majorGridlines/>
        <c:numFmt formatCode="0.0" sourceLinked="1"/>
        <c:tickLblPos val="nextTo"/>
        <c:crossAx val="111096576"/>
        <c:crosses val="autoZero"/>
        <c:crossBetween val="midCat"/>
        <c:majorUnit val="1"/>
        <c:minorUnit val="0.5"/>
      </c:valAx>
    </c:plotArea>
    <c:plotVisOnly val="1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autoTitleDeleted val="1"/>
    <c:plotArea>
      <c:layout/>
      <c:scatterChart>
        <c:scatterStyle val="lineMarker"/>
        <c:ser>
          <c:idx val="0"/>
          <c:order val="0"/>
          <c:tx>
            <c:strRef>
              <c:f>'График G-3'!$C$3</c:f>
              <c:strCache>
                <c:ptCount val="1"/>
                <c:pt idx="0">
                  <c:v>Y</c:v>
                </c:pt>
              </c:strCache>
            </c:strRef>
          </c:tx>
          <c:xVal>
            <c:numRef>
              <c:f>'График G-3'!$D$2:$N$2</c:f>
              <c:numCache>
                <c:formatCode>0.0</c:formatCode>
                <c:ptCount val="11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</c:numCache>
            </c:numRef>
          </c:xVal>
          <c:yVal>
            <c:numRef>
              <c:f>'График G-3'!$D$3:$N$3</c:f>
              <c:numCache>
                <c:formatCode>0.0</c:formatCode>
                <c:ptCount val="11"/>
                <c:pt idx="0">
                  <c:v>0.8</c:v>
                </c:pt>
                <c:pt idx="1">
                  <c:v>4</c:v>
                </c:pt>
                <c:pt idx="2">
                  <c:v>7.2</c:v>
                </c:pt>
                <c:pt idx="3">
                  <c:v>10.4</c:v>
                </c:pt>
                <c:pt idx="4">
                  <c:v>12.5</c:v>
                </c:pt>
                <c:pt idx="5">
                  <c:v>14.4</c:v>
                </c:pt>
                <c:pt idx="6">
                  <c:v>16</c:v>
                </c:pt>
                <c:pt idx="7">
                  <c:v>17.2</c:v>
                </c:pt>
                <c:pt idx="8">
                  <c:v>18.5</c:v>
                </c:pt>
                <c:pt idx="9">
                  <c:v>19.399999999999999</c:v>
                </c:pt>
                <c:pt idx="10">
                  <c:v>20</c:v>
                </c:pt>
              </c:numCache>
            </c:numRef>
          </c:yVal>
        </c:ser>
        <c:axId val="112858624"/>
        <c:axId val="112860160"/>
      </c:scatterChart>
      <c:valAx>
        <c:axId val="112858624"/>
        <c:scaling>
          <c:orientation val="minMax"/>
          <c:max val="40"/>
          <c:min val="0"/>
        </c:scaling>
        <c:axPos val="b"/>
        <c:majorGridlines/>
        <c:numFmt formatCode="0.0" sourceLinked="1"/>
        <c:tickLblPos val="nextTo"/>
        <c:crossAx val="112860160"/>
        <c:crosses val="autoZero"/>
        <c:crossBetween val="midCat"/>
        <c:majorUnit val="8"/>
      </c:valAx>
      <c:valAx>
        <c:axId val="112860160"/>
        <c:scaling>
          <c:orientation val="minMax"/>
          <c:max val="20"/>
          <c:min val="0"/>
        </c:scaling>
        <c:axPos val="l"/>
        <c:majorGridlines/>
        <c:numFmt formatCode="0.0" sourceLinked="1"/>
        <c:tickLblPos val="nextTo"/>
        <c:crossAx val="112858624"/>
        <c:crosses val="autoZero"/>
        <c:crossBetween val="midCat"/>
        <c:majorUnit val="5"/>
        <c:minorUnit val="2.5"/>
      </c:valAx>
    </c:plotArea>
    <c:plotVisOnly val="1"/>
  </c:chart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autoTitleDeleted val="1"/>
    <c:plotArea>
      <c:layout/>
      <c:scatterChart>
        <c:scatterStyle val="lineMarker"/>
        <c:ser>
          <c:idx val="0"/>
          <c:order val="0"/>
          <c:tx>
            <c:strRef>
              <c:f>'График F-1'!$C$3</c:f>
              <c:strCache>
                <c:ptCount val="1"/>
                <c:pt idx="0">
                  <c:v>Y</c:v>
                </c:pt>
              </c:strCache>
            </c:strRef>
          </c:tx>
          <c:xVal>
            <c:numRef>
              <c:f>'График F-1'!$D$2:$N$2</c:f>
              <c:numCache>
                <c:formatCode>0.0</c:formatCode>
                <c:ptCount val="1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</c:numCache>
            </c:numRef>
          </c:xVal>
          <c:yVal>
            <c:numRef>
              <c:f>'График F-1'!$D$3:$N$3</c:f>
              <c:numCache>
                <c:formatCode>0.00</c:formatCode>
                <c:ptCount val="11"/>
                <c:pt idx="0">
                  <c:v>0.4</c:v>
                </c:pt>
                <c:pt idx="1">
                  <c:v>0.52</c:v>
                </c:pt>
                <c:pt idx="2">
                  <c:v>0.64</c:v>
                </c:pt>
                <c:pt idx="3">
                  <c:v>0.76</c:v>
                </c:pt>
                <c:pt idx="4">
                  <c:v>0.88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yVal>
        </c:ser>
        <c:axId val="113322240"/>
        <c:axId val="113328128"/>
      </c:scatterChart>
      <c:valAx>
        <c:axId val="113322240"/>
        <c:scaling>
          <c:orientation val="minMax"/>
          <c:max val="2"/>
          <c:min val="0"/>
        </c:scaling>
        <c:axPos val="b"/>
        <c:majorGridlines/>
        <c:numFmt formatCode="0.0" sourceLinked="1"/>
        <c:tickLblPos val="nextTo"/>
        <c:crossAx val="113328128"/>
        <c:crosses val="autoZero"/>
        <c:crossBetween val="midCat"/>
        <c:majorUnit val="0.4"/>
        <c:minorUnit val="0.1"/>
      </c:valAx>
      <c:valAx>
        <c:axId val="113328128"/>
        <c:scaling>
          <c:orientation val="minMax"/>
          <c:max val="1"/>
          <c:min val="0"/>
        </c:scaling>
        <c:axPos val="l"/>
        <c:majorGridlines/>
        <c:numFmt formatCode="0.00" sourceLinked="1"/>
        <c:tickLblPos val="nextTo"/>
        <c:crossAx val="113322240"/>
        <c:crosses val="autoZero"/>
        <c:crossBetween val="midCat"/>
        <c:majorUnit val="0.25"/>
      </c:valAx>
    </c:plotArea>
    <c:plotVisOnly val="1"/>
  </c:chart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autoTitleDeleted val="1"/>
    <c:plotArea>
      <c:layout/>
      <c:scatterChart>
        <c:scatterStyle val="lineMarker"/>
        <c:ser>
          <c:idx val="0"/>
          <c:order val="0"/>
          <c:tx>
            <c:strRef>
              <c:f>'График F-2'!$C$3</c:f>
              <c:strCache>
                <c:ptCount val="1"/>
                <c:pt idx="0">
                  <c:v>Y</c:v>
                </c:pt>
              </c:strCache>
            </c:strRef>
          </c:tx>
          <c:xVal>
            <c:numRef>
              <c:f>'График F-2'!$D$2:$N$2</c:f>
              <c:numCache>
                <c:formatCode>0.0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'График F-2'!$D$3:$N$3</c:f>
              <c:numCache>
                <c:formatCode>0.0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3.7</c:v>
                </c:pt>
                <c:pt idx="5">
                  <c:v>4.2</c:v>
                </c:pt>
                <c:pt idx="6">
                  <c:v>4.5</c:v>
                </c:pt>
                <c:pt idx="7">
                  <c:v>4.7</c:v>
                </c:pt>
                <c:pt idx="8">
                  <c:v>4.8</c:v>
                </c:pt>
                <c:pt idx="9">
                  <c:v>4.9000000000000004</c:v>
                </c:pt>
                <c:pt idx="10">
                  <c:v>5</c:v>
                </c:pt>
              </c:numCache>
            </c:numRef>
          </c:yVal>
        </c:ser>
        <c:axId val="113335296"/>
        <c:axId val="94774016"/>
      </c:scatterChart>
      <c:valAx>
        <c:axId val="113335296"/>
        <c:scaling>
          <c:orientation val="minMax"/>
          <c:max val="10"/>
          <c:min val="0"/>
        </c:scaling>
        <c:axPos val="b"/>
        <c:majorGridlines/>
        <c:numFmt formatCode="0.0" sourceLinked="1"/>
        <c:tickLblPos val="nextTo"/>
        <c:crossAx val="94774016"/>
        <c:crosses val="autoZero"/>
        <c:crossBetween val="midCat"/>
        <c:majorUnit val="2"/>
      </c:valAx>
      <c:valAx>
        <c:axId val="94774016"/>
        <c:scaling>
          <c:orientation val="minMax"/>
          <c:max val="5"/>
          <c:min val="0"/>
        </c:scaling>
        <c:axPos val="l"/>
        <c:majorGridlines/>
        <c:numFmt formatCode="0.0" sourceLinked="1"/>
        <c:tickLblPos val="nextTo"/>
        <c:crossAx val="113335296"/>
        <c:crosses val="autoZero"/>
        <c:crossBetween val="midCat"/>
        <c:majorUnit val="1"/>
        <c:minorUnit val="0.5"/>
      </c:valAx>
    </c:plotArea>
    <c:plotVisOnly val="1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autoTitleDeleted val="1"/>
    <c:plotArea>
      <c:layout/>
      <c:scatterChart>
        <c:scatterStyle val="lineMarker"/>
        <c:ser>
          <c:idx val="0"/>
          <c:order val="0"/>
          <c:tx>
            <c:strRef>
              <c:f>'График F-3'!$C$3</c:f>
              <c:strCache>
                <c:ptCount val="1"/>
                <c:pt idx="0">
                  <c:v>Y</c:v>
                </c:pt>
              </c:strCache>
            </c:strRef>
          </c:tx>
          <c:xVal>
            <c:numRef>
              <c:f>'График F-3'!$D$2:$N$2</c:f>
              <c:numCache>
                <c:formatCode>0.0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'График F-3'!$D$3:$N$3</c:f>
              <c:numCache>
                <c:formatCode>0.0</c:formatCode>
                <c:ptCount val="11"/>
                <c:pt idx="0">
                  <c:v>0</c:v>
                </c:pt>
                <c:pt idx="1">
                  <c:v>4</c:v>
                </c:pt>
                <c:pt idx="2">
                  <c:v>5.5</c:v>
                </c:pt>
                <c:pt idx="3">
                  <c:v>7</c:v>
                </c:pt>
                <c:pt idx="4">
                  <c:v>7.8</c:v>
                </c:pt>
                <c:pt idx="5">
                  <c:v>8.3000000000000007</c:v>
                </c:pt>
                <c:pt idx="6">
                  <c:v>9</c:v>
                </c:pt>
                <c:pt idx="7">
                  <c:v>9.3000000000000007</c:v>
                </c:pt>
                <c:pt idx="8">
                  <c:v>9.5</c:v>
                </c:pt>
                <c:pt idx="9">
                  <c:v>9.6999999999999993</c:v>
                </c:pt>
                <c:pt idx="10">
                  <c:v>10</c:v>
                </c:pt>
              </c:numCache>
            </c:numRef>
          </c:yVal>
        </c:ser>
        <c:axId val="94822400"/>
        <c:axId val="94823936"/>
      </c:scatterChart>
      <c:valAx>
        <c:axId val="94822400"/>
        <c:scaling>
          <c:orientation val="minMax"/>
          <c:max val="1"/>
          <c:min val="0"/>
        </c:scaling>
        <c:axPos val="b"/>
        <c:majorGridlines/>
        <c:numFmt formatCode="0.0" sourceLinked="1"/>
        <c:tickLblPos val="nextTo"/>
        <c:crossAx val="94823936"/>
        <c:crosses val="autoZero"/>
        <c:crossBetween val="midCat"/>
        <c:majorUnit val="0.2"/>
      </c:valAx>
      <c:valAx>
        <c:axId val="94823936"/>
        <c:scaling>
          <c:orientation val="minMax"/>
          <c:max val="10"/>
          <c:min val="0"/>
        </c:scaling>
        <c:axPos val="l"/>
        <c:majorGridlines/>
        <c:numFmt formatCode="0.0" sourceLinked="1"/>
        <c:tickLblPos val="nextTo"/>
        <c:crossAx val="94822400"/>
        <c:crosses val="autoZero"/>
        <c:crossBetween val="midCat"/>
        <c:majorUnit val="2"/>
      </c:valAx>
    </c:plotArea>
    <c:plotVisOnly val="1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autoTitleDeleted val="1"/>
    <c:plotArea>
      <c:layout/>
      <c:scatterChart>
        <c:scatterStyle val="lineMarker"/>
        <c:ser>
          <c:idx val="0"/>
          <c:order val="0"/>
          <c:tx>
            <c:strRef>
              <c:f>'График F-4'!$C$3</c:f>
              <c:strCache>
                <c:ptCount val="1"/>
                <c:pt idx="0">
                  <c:v>Y</c:v>
                </c:pt>
              </c:strCache>
            </c:strRef>
          </c:tx>
          <c:xVal>
            <c:numRef>
              <c:f>'График F-4'!$D$2:$N$2</c:f>
              <c:numCache>
                <c:formatCode>0.0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'График F-4'!$D$3:$N$3</c:f>
              <c:numCache>
                <c:formatCode>0.0</c:formatCode>
                <c:ptCount val="11"/>
                <c:pt idx="0">
                  <c:v>0.03</c:v>
                </c:pt>
                <c:pt idx="1">
                  <c:v>0.2</c:v>
                </c:pt>
                <c:pt idx="2">
                  <c:v>2</c:v>
                </c:pt>
                <c:pt idx="3">
                  <c:v>3.5</c:v>
                </c:pt>
                <c:pt idx="4">
                  <c:v>4.5</c:v>
                </c:pt>
                <c:pt idx="5">
                  <c:v>5</c:v>
                </c:pt>
                <c:pt idx="6">
                  <c:v>4.5</c:v>
                </c:pt>
                <c:pt idx="7">
                  <c:v>3.5</c:v>
                </c:pt>
                <c:pt idx="8">
                  <c:v>2</c:v>
                </c:pt>
                <c:pt idx="9">
                  <c:v>0.2</c:v>
                </c:pt>
                <c:pt idx="10">
                  <c:v>0.01</c:v>
                </c:pt>
              </c:numCache>
            </c:numRef>
          </c:yVal>
        </c:ser>
        <c:axId val="113382144"/>
        <c:axId val="113383680"/>
      </c:scatterChart>
      <c:valAx>
        <c:axId val="113382144"/>
        <c:scaling>
          <c:orientation val="minMax"/>
          <c:max val="1"/>
          <c:min val="0"/>
        </c:scaling>
        <c:axPos val="b"/>
        <c:majorGridlines/>
        <c:numFmt formatCode="0.0" sourceLinked="1"/>
        <c:tickLblPos val="nextTo"/>
        <c:crossAx val="113383680"/>
        <c:crosses val="autoZero"/>
        <c:crossBetween val="midCat"/>
        <c:majorUnit val="0.2"/>
      </c:valAx>
      <c:valAx>
        <c:axId val="113383680"/>
        <c:scaling>
          <c:orientation val="minMax"/>
          <c:max val="5"/>
          <c:min val="0"/>
        </c:scaling>
        <c:axPos val="l"/>
        <c:majorGridlines/>
        <c:numFmt formatCode="0.0" sourceLinked="1"/>
        <c:tickLblPos val="nextTo"/>
        <c:crossAx val="113382144"/>
        <c:crosses val="autoZero"/>
        <c:crossBetween val="midCat"/>
        <c:majorUnit val="1"/>
      </c:valAx>
    </c:plotArea>
    <c:plotVisOnly val="1"/>
  </c:chart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autoTitleDeleted val="1"/>
    <c:plotArea>
      <c:layout/>
      <c:scatterChart>
        <c:scatterStyle val="lineMarker"/>
        <c:ser>
          <c:idx val="0"/>
          <c:order val="0"/>
          <c:tx>
            <c:strRef>
              <c:f>'График TF-1'!$C$3</c:f>
              <c:strCache>
                <c:ptCount val="1"/>
                <c:pt idx="0">
                  <c:v>Y</c:v>
                </c:pt>
              </c:strCache>
            </c:strRef>
          </c:tx>
          <c:xVal>
            <c:numRef>
              <c:f>'График TF-1'!$D$2:$N$2</c:f>
              <c:numCache>
                <c:formatCode>0.0</c:formatCode>
                <c:ptCount val="1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</c:numCache>
            </c:numRef>
          </c:xVal>
          <c:yVal>
            <c:numRef>
              <c:f>'График TF-1'!$D$3:$N$3</c:f>
              <c:numCache>
                <c:formatCode>0.0</c:formatCode>
                <c:ptCount val="1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</c:numCache>
            </c:numRef>
          </c:yVal>
        </c:ser>
        <c:axId val="113415680"/>
        <c:axId val="113417216"/>
      </c:scatterChart>
      <c:valAx>
        <c:axId val="113415680"/>
        <c:scaling>
          <c:orientation val="minMax"/>
          <c:max val="5"/>
          <c:min val="0"/>
        </c:scaling>
        <c:axPos val="b"/>
        <c:majorGridlines/>
        <c:numFmt formatCode="0.0" sourceLinked="1"/>
        <c:tickLblPos val="nextTo"/>
        <c:crossAx val="113417216"/>
        <c:crosses val="autoZero"/>
        <c:crossBetween val="midCat"/>
        <c:majorUnit val="1"/>
      </c:valAx>
      <c:valAx>
        <c:axId val="113417216"/>
        <c:scaling>
          <c:orientation val="minMax"/>
          <c:max val="2"/>
          <c:min val="0"/>
        </c:scaling>
        <c:axPos val="l"/>
        <c:majorGridlines/>
        <c:numFmt formatCode="0.0" sourceLinked="1"/>
        <c:tickLblPos val="nextTo"/>
        <c:crossAx val="113415680"/>
        <c:crosses val="autoZero"/>
        <c:crossBetween val="midCat"/>
        <c:majorUnit val="0.5"/>
      </c:valAx>
    </c:plotArea>
    <c:plotVisOnly val="1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autoTitleDeleted val="1"/>
    <c:plotArea>
      <c:layout/>
      <c:scatterChart>
        <c:scatterStyle val="lineMarker"/>
        <c:ser>
          <c:idx val="0"/>
          <c:order val="0"/>
          <c:tx>
            <c:strRef>
              <c:f>'График TF-2'!$C$3</c:f>
              <c:strCache>
                <c:ptCount val="1"/>
                <c:pt idx="0">
                  <c:v>Y</c:v>
                </c:pt>
              </c:strCache>
            </c:strRef>
          </c:tx>
          <c:xVal>
            <c:numRef>
              <c:f>'График TF-2'!$D$2:$N$2</c:f>
              <c:numCache>
                <c:formatCode>0.0</c:formatCode>
                <c:ptCount val="1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</c:numCache>
            </c:numRef>
          </c:xVal>
          <c:yVal>
            <c:numRef>
              <c:f>'График TF-2'!$D$3:$N$3</c:f>
              <c:numCache>
                <c:formatCode>0</c:formatCode>
                <c:ptCount val="11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12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</c:numCache>
            </c:numRef>
          </c:yVal>
        </c:ser>
        <c:axId val="113887488"/>
        <c:axId val="113893376"/>
      </c:scatterChart>
      <c:valAx>
        <c:axId val="113887488"/>
        <c:scaling>
          <c:orientation val="minMax"/>
          <c:max val="5"/>
          <c:min val="0"/>
        </c:scaling>
        <c:axPos val="b"/>
        <c:majorGridlines/>
        <c:numFmt formatCode="0.0" sourceLinked="1"/>
        <c:tickLblPos val="nextTo"/>
        <c:crossAx val="113893376"/>
        <c:crosses val="autoZero"/>
        <c:crossBetween val="midCat"/>
        <c:majorUnit val="1"/>
      </c:valAx>
      <c:valAx>
        <c:axId val="113893376"/>
        <c:scaling>
          <c:orientation val="minMax"/>
          <c:max val="20"/>
          <c:min val="0"/>
        </c:scaling>
        <c:axPos val="l"/>
        <c:majorGridlines/>
        <c:numFmt formatCode="0" sourceLinked="1"/>
        <c:tickLblPos val="nextTo"/>
        <c:crossAx val="113887488"/>
        <c:crosses val="autoZero"/>
        <c:crossBetween val="midCat"/>
        <c:majorUnit val="5"/>
      </c:valAx>
    </c:plotArea>
    <c:plotVisOnly val="1"/>
  </c:chart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601980</xdr:colOff>
      <xdr:row>4</xdr:row>
      <xdr:rowOff>45720</xdr:rowOff>
    </xdr:from>
    <xdr:to>
      <xdr:col>8</xdr:col>
      <xdr:colOff>579120</xdr:colOff>
      <xdr:row>19</xdr:row>
      <xdr:rowOff>160020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601980</xdr:colOff>
      <xdr:row>4</xdr:row>
      <xdr:rowOff>45720</xdr:rowOff>
    </xdr:from>
    <xdr:to>
      <xdr:col>8</xdr:col>
      <xdr:colOff>579120</xdr:colOff>
      <xdr:row>19</xdr:row>
      <xdr:rowOff>160020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601980</xdr:colOff>
      <xdr:row>4</xdr:row>
      <xdr:rowOff>45720</xdr:rowOff>
    </xdr:from>
    <xdr:to>
      <xdr:col>8</xdr:col>
      <xdr:colOff>579120</xdr:colOff>
      <xdr:row>21</xdr:row>
      <xdr:rowOff>30480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601980</xdr:colOff>
      <xdr:row>4</xdr:row>
      <xdr:rowOff>45720</xdr:rowOff>
    </xdr:from>
    <xdr:to>
      <xdr:col>8</xdr:col>
      <xdr:colOff>579120</xdr:colOff>
      <xdr:row>21</xdr:row>
      <xdr:rowOff>30480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601980</xdr:colOff>
      <xdr:row>4</xdr:row>
      <xdr:rowOff>45720</xdr:rowOff>
    </xdr:from>
    <xdr:to>
      <xdr:col>8</xdr:col>
      <xdr:colOff>579120</xdr:colOff>
      <xdr:row>19</xdr:row>
      <xdr:rowOff>160020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601980</xdr:colOff>
      <xdr:row>4</xdr:row>
      <xdr:rowOff>45720</xdr:rowOff>
    </xdr:from>
    <xdr:to>
      <xdr:col>8</xdr:col>
      <xdr:colOff>579120</xdr:colOff>
      <xdr:row>19</xdr:row>
      <xdr:rowOff>160020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601980</xdr:colOff>
      <xdr:row>4</xdr:row>
      <xdr:rowOff>45720</xdr:rowOff>
    </xdr:from>
    <xdr:to>
      <xdr:col>8</xdr:col>
      <xdr:colOff>579120</xdr:colOff>
      <xdr:row>19</xdr:row>
      <xdr:rowOff>160020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601980</xdr:colOff>
      <xdr:row>4</xdr:row>
      <xdr:rowOff>45720</xdr:rowOff>
    </xdr:from>
    <xdr:to>
      <xdr:col>8</xdr:col>
      <xdr:colOff>579120</xdr:colOff>
      <xdr:row>19</xdr:row>
      <xdr:rowOff>160020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601980</xdr:colOff>
      <xdr:row>4</xdr:row>
      <xdr:rowOff>45720</xdr:rowOff>
    </xdr:from>
    <xdr:to>
      <xdr:col>8</xdr:col>
      <xdr:colOff>579120</xdr:colOff>
      <xdr:row>19</xdr:row>
      <xdr:rowOff>160020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601980</xdr:colOff>
      <xdr:row>4</xdr:row>
      <xdr:rowOff>45720</xdr:rowOff>
    </xdr:from>
    <xdr:to>
      <xdr:col>8</xdr:col>
      <xdr:colOff>579120</xdr:colOff>
      <xdr:row>19</xdr:row>
      <xdr:rowOff>160020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601980</xdr:colOff>
      <xdr:row>4</xdr:row>
      <xdr:rowOff>45720</xdr:rowOff>
    </xdr:from>
    <xdr:to>
      <xdr:col>8</xdr:col>
      <xdr:colOff>579120</xdr:colOff>
      <xdr:row>19</xdr:row>
      <xdr:rowOff>160020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601980</xdr:colOff>
      <xdr:row>4</xdr:row>
      <xdr:rowOff>45720</xdr:rowOff>
    </xdr:from>
    <xdr:to>
      <xdr:col>8</xdr:col>
      <xdr:colOff>579120</xdr:colOff>
      <xdr:row>19</xdr:row>
      <xdr:rowOff>160020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601980</xdr:colOff>
      <xdr:row>4</xdr:row>
      <xdr:rowOff>45720</xdr:rowOff>
    </xdr:from>
    <xdr:to>
      <xdr:col>8</xdr:col>
      <xdr:colOff>579120</xdr:colOff>
      <xdr:row>20</xdr:row>
      <xdr:rowOff>160020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601980</xdr:colOff>
      <xdr:row>4</xdr:row>
      <xdr:rowOff>45720</xdr:rowOff>
    </xdr:from>
    <xdr:to>
      <xdr:col>8</xdr:col>
      <xdr:colOff>579120</xdr:colOff>
      <xdr:row>19</xdr:row>
      <xdr:rowOff>160020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601980</xdr:colOff>
      <xdr:row>4</xdr:row>
      <xdr:rowOff>45720</xdr:rowOff>
    </xdr:from>
    <xdr:to>
      <xdr:col>8</xdr:col>
      <xdr:colOff>579120</xdr:colOff>
      <xdr:row>19</xdr:row>
      <xdr:rowOff>160020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Лист1"/>
  <dimension ref="A1:N65"/>
  <sheetViews>
    <sheetView zoomScaleNormal="100" workbookViewId="0">
      <selection activeCell="C11" sqref="C11:D11"/>
    </sheetView>
  </sheetViews>
  <sheetFormatPr defaultRowHeight="15"/>
  <cols>
    <col min="1" max="1" width="16.77734375" style="2" customWidth="1"/>
    <col min="2" max="2" width="61.77734375" style="2" customWidth="1"/>
    <col min="3" max="12" width="10.77734375" style="2" customWidth="1"/>
    <col min="13" max="13" width="11.21875" style="2" customWidth="1"/>
    <col min="14" max="16384" width="8.88671875" style="2"/>
  </cols>
  <sheetData>
    <row r="1" spans="1:14" s="26" customFormat="1" ht="28.05" customHeight="1">
      <c r="C1" s="33" t="s">
        <v>72</v>
      </c>
      <c r="D1" s="34"/>
      <c r="E1" s="34"/>
      <c r="F1" s="34"/>
      <c r="G1" s="34"/>
      <c r="I1" s="33" t="s">
        <v>73</v>
      </c>
      <c r="J1" s="34"/>
      <c r="K1" s="34"/>
      <c r="L1" s="34"/>
      <c r="M1" s="34"/>
    </row>
    <row r="2" spans="1:14" s="26" customFormat="1" ht="28.05" customHeight="1">
      <c r="C2" s="33"/>
      <c r="D2" s="16"/>
      <c r="E2" s="16"/>
      <c r="F2" s="16"/>
      <c r="G2" s="16"/>
      <c r="I2" s="33"/>
      <c r="J2" s="16"/>
      <c r="K2" s="16"/>
      <c r="L2" s="16"/>
      <c r="M2" s="16"/>
    </row>
    <row r="3" spans="1:14" s="26" customFormat="1"/>
    <row r="4" spans="1:14" s="4" customFormat="1" ht="19.95" customHeight="1">
      <c r="A4" s="142" t="s">
        <v>82</v>
      </c>
      <c r="B4" s="142"/>
      <c r="C4" s="126" t="s">
        <v>30</v>
      </c>
      <c r="D4" s="126"/>
      <c r="E4" s="126"/>
      <c r="F4" s="126"/>
      <c r="G4" s="126"/>
      <c r="H4" s="126"/>
      <c r="I4" s="126"/>
      <c r="J4" s="126"/>
      <c r="K4" s="126"/>
      <c r="L4" s="126"/>
      <c r="M4" s="126"/>
    </row>
    <row r="5" spans="1:14" ht="19.95" customHeight="1"/>
    <row r="6" spans="1:14" s="3" customFormat="1" ht="30" customHeight="1">
      <c r="A6" s="10" t="s">
        <v>2</v>
      </c>
      <c r="B6" s="10" t="s">
        <v>3</v>
      </c>
      <c r="C6" s="6" t="s">
        <v>10</v>
      </c>
      <c r="D6" s="121" t="s">
        <v>4</v>
      </c>
      <c r="E6" s="121"/>
      <c r="F6" s="121"/>
      <c r="G6" s="121"/>
      <c r="H6" s="121"/>
      <c r="I6" s="121"/>
      <c r="J6" s="121"/>
      <c r="K6" s="121"/>
      <c r="L6" s="121"/>
      <c r="M6" s="17" t="s">
        <v>16</v>
      </c>
      <c r="N6" s="5"/>
    </row>
    <row r="7" spans="1:14" ht="15.6">
      <c r="C7" s="20" t="s">
        <v>5</v>
      </c>
      <c r="D7" s="21" t="s">
        <v>6</v>
      </c>
      <c r="E7" s="20" t="s">
        <v>7</v>
      </c>
      <c r="F7" s="21" t="s">
        <v>8</v>
      </c>
      <c r="G7" s="20" t="s">
        <v>9</v>
      </c>
      <c r="H7" s="21" t="s">
        <v>11</v>
      </c>
      <c r="I7" s="20" t="s">
        <v>12</v>
      </c>
      <c r="J7" s="21" t="s">
        <v>13</v>
      </c>
      <c r="K7" s="20" t="s">
        <v>14</v>
      </c>
      <c r="L7" s="21" t="s">
        <v>15</v>
      </c>
      <c r="M7" s="7"/>
    </row>
    <row r="8" spans="1:14" ht="16.05" customHeight="1">
      <c r="A8" s="127" t="s">
        <v>0</v>
      </c>
      <c r="B8" s="127"/>
    </row>
    <row r="9" spans="1:14" ht="16.05" customHeight="1">
      <c r="A9" s="8" t="s">
        <v>17</v>
      </c>
      <c r="B9" s="9" t="s">
        <v>33</v>
      </c>
      <c r="C9" s="43">
        <v>200</v>
      </c>
      <c r="D9" s="43">
        <f>ROUND(C9+C9/1000*D18*5-C9/1000*D15*5,-1)</f>
        <v>220</v>
      </c>
      <c r="E9" s="43"/>
      <c r="F9" s="43"/>
      <c r="G9" s="43"/>
      <c r="H9" s="43"/>
      <c r="I9" s="43"/>
      <c r="J9" s="43"/>
      <c r="K9" s="43"/>
      <c r="L9" s="43"/>
      <c r="M9" s="44">
        <v>500</v>
      </c>
    </row>
    <row r="10" spans="1:14" ht="16.05" customHeight="1">
      <c r="A10" s="8" t="s">
        <v>18</v>
      </c>
      <c r="B10" s="9" t="s">
        <v>53</v>
      </c>
      <c r="C10" s="43">
        <v>3300</v>
      </c>
      <c r="D10" s="43">
        <f>'Сельхоз и ОС'!D23+'Сельхоз и ОС'!D21</f>
        <v>2890</v>
      </c>
      <c r="E10" s="43"/>
      <c r="F10" s="43"/>
      <c r="G10" s="43"/>
      <c r="H10" s="43"/>
      <c r="I10" s="43"/>
      <c r="J10" s="43"/>
      <c r="K10" s="43"/>
      <c r="L10" s="43"/>
      <c r="M10" s="44">
        <v>12500</v>
      </c>
    </row>
    <row r="11" spans="1:14" ht="16.05" customHeight="1">
      <c r="A11" s="8" t="s">
        <v>19</v>
      </c>
      <c r="B11" s="9" t="s">
        <v>54</v>
      </c>
      <c r="C11" s="43">
        <v>3500</v>
      </c>
      <c r="D11" s="43">
        <f>Промышленность!D24+Промышленность!D22</f>
        <v>6758.818181818182</v>
      </c>
      <c r="E11" s="43"/>
      <c r="F11" s="43"/>
      <c r="G11" s="43"/>
      <c r="H11" s="43"/>
      <c r="I11" s="43"/>
      <c r="J11" s="43"/>
      <c r="K11" s="43"/>
      <c r="L11" s="43"/>
      <c r="M11" s="44">
        <v>68600</v>
      </c>
    </row>
    <row r="12" spans="1:14" ht="16.05" customHeight="1"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</row>
    <row r="13" spans="1:14" ht="16.05" customHeight="1">
      <c r="A13" s="127" t="s">
        <v>1</v>
      </c>
      <c r="B13" s="127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</row>
    <row r="14" spans="1:14" ht="16.05" customHeight="1">
      <c r="A14" s="8" t="s">
        <v>20</v>
      </c>
      <c r="B14" s="9" t="s">
        <v>66</v>
      </c>
      <c r="C14" s="11">
        <v>2</v>
      </c>
      <c r="D14" s="11">
        <f>C21/(C9*5)</f>
        <v>2</v>
      </c>
      <c r="E14" s="11"/>
      <c r="F14" s="11"/>
      <c r="G14" s="11"/>
      <c r="H14" s="11"/>
      <c r="I14" s="11"/>
      <c r="J14" s="11"/>
      <c r="K14" s="11"/>
      <c r="L14" s="11"/>
      <c r="M14" s="18">
        <v>5</v>
      </c>
    </row>
    <row r="15" spans="1:14" ht="16.05" customHeight="1">
      <c r="A15" s="8" t="s">
        <v>21</v>
      </c>
      <c r="B15" s="9" t="s">
        <v>45</v>
      </c>
      <c r="C15" s="11">
        <v>18</v>
      </c>
      <c r="D15" s="11">
        <v>18.2</v>
      </c>
      <c r="E15" s="11"/>
      <c r="F15" s="11"/>
      <c r="G15" s="11"/>
      <c r="H15" s="11"/>
      <c r="I15" s="11"/>
      <c r="J15" s="11"/>
      <c r="K15" s="11"/>
      <c r="L15" s="11"/>
      <c r="M15" s="18">
        <v>10</v>
      </c>
    </row>
    <row r="16" spans="1:14" ht="16.05" customHeight="1">
      <c r="A16" s="8" t="s">
        <v>22</v>
      </c>
      <c r="B16" s="9" t="s">
        <v>49</v>
      </c>
      <c r="C16" s="11">
        <v>2</v>
      </c>
      <c r="D16" s="11">
        <f>C26/(C9*5)</f>
        <v>2</v>
      </c>
      <c r="E16" s="11"/>
      <c r="F16" s="11"/>
      <c r="G16" s="11"/>
      <c r="H16" s="11"/>
      <c r="I16" s="11"/>
      <c r="J16" s="11"/>
      <c r="K16" s="11"/>
      <c r="L16" s="11"/>
      <c r="M16" s="18">
        <v>15</v>
      </c>
    </row>
    <row r="17" spans="1:13" ht="16.05" customHeight="1">
      <c r="A17" s="8" t="s">
        <v>23</v>
      </c>
      <c r="B17" s="9" t="s">
        <v>50</v>
      </c>
      <c r="C17" s="11">
        <v>2.25</v>
      </c>
      <c r="D17" s="11">
        <f>Промышленность!D14/Население!C9</f>
        <v>4</v>
      </c>
      <c r="E17" s="11"/>
      <c r="F17" s="11"/>
      <c r="G17" s="11"/>
      <c r="H17" s="11"/>
      <c r="I17" s="11"/>
      <c r="J17" s="11"/>
      <c r="K17" s="11"/>
      <c r="L17" s="11"/>
      <c r="M17" s="18">
        <v>18</v>
      </c>
    </row>
    <row r="18" spans="1:13" ht="16.05" customHeight="1">
      <c r="A18" s="8" t="s">
        <v>24</v>
      </c>
      <c r="B18" s="9" t="s">
        <v>51</v>
      </c>
      <c r="C18" s="11">
        <v>41</v>
      </c>
      <c r="D18" s="11">
        <v>39.200000000000003</v>
      </c>
      <c r="E18" s="11"/>
      <c r="F18" s="11"/>
      <c r="G18" s="11"/>
      <c r="H18" s="11"/>
      <c r="I18" s="11"/>
      <c r="J18" s="11"/>
      <c r="K18" s="11"/>
      <c r="L18" s="11"/>
      <c r="M18" s="18">
        <v>10</v>
      </c>
    </row>
    <row r="19" spans="1:13" ht="16.05" customHeight="1"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</row>
    <row r="20" spans="1:13" ht="16.05" customHeight="1">
      <c r="A20" s="194" t="s">
        <v>36</v>
      </c>
      <c r="B20" s="13" t="s">
        <v>31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</row>
    <row r="21" spans="1:13" ht="16.05" customHeight="1">
      <c r="A21" s="8" t="s">
        <v>25</v>
      </c>
      <c r="B21" s="9" t="s">
        <v>52</v>
      </c>
      <c r="C21" s="193">
        <v>2000</v>
      </c>
      <c r="D21" s="193"/>
      <c r="E21" s="193"/>
      <c r="F21" s="193"/>
      <c r="G21" s="193"/>
      <c r="H21" s="193"/>
      <c r="I21" s="193"/>
      <c r="J21" s="193"/>
      <c r="K21" s="193"/>
      <c r="L21" s="193"/>
      <c r="M21" s="15"/>
    </row>
    <row r="22" spans="1:13" ht="16.05" customHeight="1">
      <c r="A22" s="8" t="s">
        <v>26</v>
      </c>
      <c r="B22" s="9" t="s">
        <v>55</v>
      </c>
      <c r="C22" s="193">
        <f>'Торговля и финансы'!C24</f>
        <v>1300</v>
      </c>
      <c r="D22" s="193"/>
      <c r="E22" s="193"/>
      <c r="F22" s="193"/>
      <c r="G22" s="193"/>
      <c r="H22" s="193"/>
      <c r="I22" s="193"/>
      <c r="J22" s="193"/>
      <c r="K22" s="193"/>
      <c r="L22" s="193"/>
      <c r="M22" s="15"/>
    </row>
    <row r="23" spans="1:13" ht="16.05" customHeight="1">
      <c r="A23" s="19" t="s">
        <v>42</v>
      </c>
      <c r="B23" s="9" t="s">
        <v>41</v>
      </c>
      <c r="C23" s="45">
        <f>IF(C21+C22=C10, C10, "проверь!")</f>
        <v>3300</v>
      </c>
      <c r="D23" s="43"/>
      <c r="E23" s="43"/>
      <c r="F23" s="43"/>
      <c r="G23" s="43"/>
      <c r="H23" s="43"/>
      <c r="I23" s="43"/>
      <c r="J23" s="43"/>
      <c r="K23" s="43"/>
      <c r="L23" s="43"/>
      <c r="M23" s="15"/>
    </row>
    <row r="24" spans="1:13" ht="16.05" customHeight="1"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5"/>
    </row>
    <row r="25" spans="1:13" ht="16.05" customHeight="1">
      <c r="A25" s="194" t="s">
        <v>37</v>
      </c>
      <c r="B25" s="13" t="s">
        <v>32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5"/>
    </row>
    <row r="26" spans="1:13" ht="16.05" customHeight="1">
      <c r="A26" s="8" t="s">
        <v>27</v>
      </c>
      <c r="B26" s="9" t="s">
        <v>56</v>
      </c>
      <c r="C26" s="193">
        <v>2000</v>
      </c>
      <c r="D26" s="193"/>
      <c r="E26" s="193"/>
      <c r="F26" s="193"/>
      <c r="G26" s="193"/>
      <c r="H26" s="193"/>
      <c r="I26" s="193"/>
      <c r="J26" s="193"/>
      <c r="K26" s="193"/>
      <c r="L26" s="193"/>
      <c r="M26" s="15"/>
    </row>
    <row r="27" spans="1:13" ht="16.05" customHeight="1">
      <c r="A27" s="8" t="s">
        <v>28</v>
      </c>
      <c r="B27" s="9" t="s">
        <v>57</v>
      </c>
      <c r="C27" s="193">
        <v>1500</v>
      </c>
      <c r="D27" s="193"/>
      <c r="E27" s="193"/>
      <c r="F27" s="193"/>
      <c r="G27" s="193"/>
      <c r="H27" s="193"/>
      <c r="I27" s="193"/>
      <c r="J27" s="193"/>
      <c r="K27" s="193"/>
      <c r="L27" s="193"/>
      <c r="M27" s="15"/>
    </row>
    <row r="28" spans="1:13" ht="16.05" customHeight="1">
      <c r="A28" s="8" t="s">
        <v>29</v>
      </c>
      <c r="B28" s="9" t="s">
        <v>58</v>
      </c>
      <c r="C28" s="193">
        <f>'Торговля и финансы'!C23</f>
        <v>0</v>
      </c>
      <c r="D28" s="193"/>
      <c r="E28" s="193"/>
      <c r="F28" s="193"/>
      <c r="G28" s="193"/>
      <c r="H28" s="193"/>
      <c r="I28" s="193"/>
      <c r="J28" s="193"/>
      <c r="K28" s="193"/>
      <c r="L28" s="193"/>
      <c r="M28" s="15"/>
    </row>
    <row r="29" spans="1:13" ht="16.05" customHeight="1">
      <c r="A29" s="19" t="s">
        <v>42</v>
      </c>
      <c r="B29" s="9" t="s">
        <v>43</v>
      </c>
      <c r="C29" s="43">
        <f>IF(C26+C27+C28=C11, C11, "проверь!")</f>
        <v>3500</v>
      </c>
      <c r="D29" s="43"/>
      <c r="E29" s="43"/>
      <c r="F29" s="43"/>
      <c r="G29" s="43"/>
      <c r="H29" s="43"/>
      <c r="I29" s="43"/>
      <c r="J29" s="43"/>
      <c r="K29" s="43"/>
      <c r="L29" s="43"/>
      <c r="M29" s="15"/>
    </row>
    <row r="30" spans="1:13" ht="16.05" customHeight="1">
      <c r="M30" s="16"/>
    </row>
    <row r="31" spans="1:13" ht="16.05" customHeight="1"/>
    <row r="32" spans="1:13" ht="16.05" customHeight="1"/>
    <row r="33" spans="1:12" s="26" customFormat="1" ht="16.05" customHeight="1"/>
    <row r="34" spans="1:12" s="26" customFormat="1" ht="16.05" customHeight="1"/>
    <row r="35" spans="1:12" ht="16.05" customHeight="1">
      <c r="A35" s="3" t="s">
        <v>35</v>
      </c>
      <c r="C35" s="2" t="s">
        <v>44</v>
      </c>
      <c r="D35" s="2" t="s">
        <v>46</v>
      </c>
      <c r="G35" s="14" t="s">
        <v>70</v>
      </c>
    </row>
    <row r="36" spans="1:12" ht="16.05" customHeight="1">
      <c r="C36" s="2" t="s">
        <v>47</v>
      </c>
      <c r="D36" s="2" t="s">
        <v>48</v>
      </c>
      <c r="G36" s="14" t="s">
        <v>67</v>
      </c>
    </row>
    <row r="37" spans="1:12" ht="19.95" customHeight="1">
      <c r="A37" s="4" t="s">
        <v>34</v>
      </c>
    </row>
    <row r="38" spans="1:12" ht="16.05" customHeight="1"/>
    <row r="39" spans="1:12" ht="16.05" customHeight="1">
      <c r="A39" s="10" t="s">
        <v>2</v>
      </c>
      <c r="B39" s="10" t="s">
        <v>3</v>
      </c>
      <c r="C39" s="128" t="s">
        <v>39</v>
      </c>
      <c r="D39" s="128"/>
      <c r="E39" s="128"/>
      <c r="F39" s="128"/>
      <c r="G39" s="128"/>
      <c r="H39" s="128" t="s">
        <v>40</v>
      </c>
      <c r="I39" s="128"/>
      <c r="J39" s="128"/>
      <c r="K39" s="128"/>
      <c r="L39" s="128"/>
    </row>
    <row r="40" spans="1:12" ht="100.05" customHeight="1">
      <c r="A40" s="48" t="s">
        <v>17</v>
      </c>
      <c r="B40" s="38" t="s">
        <v>33</v>
      </c>
      <c r="C40" s="122" t="s">
        <v>63</v>
      </c>
      <c r="D40" s="123"/>
      <c r="E40" s="123"/>
      <c r="F40" s="123"/>
      <c r="G40" s="123"/>
      <c r="H40" s="129" t="s">
        <v>166</v>
      </c>
      <c r="I40" s="130"/>
      <c r="J40" s="130"/>
      <c r="K40" s="130"/>
      <c r="L40" s="131"/>
    </row>
    <row r="41" spans="1:12" ht="70.05" customHeight="1">
      <c r="A41" s="48" t="s">
        <v>18</v>
      </c>
      <c r="B41" s="38" t="s">
        <v>53</v>
      </c>
      <c r="C41" s="122" t="s">
        <v>64</v>
      </c>
      <c r="D41" s="123"/>
      <c r="E41" s="123"/>
      <c r="F41" s="123"/>
      <c r="G41" s="123"/>
      <c r="H41" s="123" t="s">
        <v>68</v>
      </c>
      <c r="I41" s="123"/>
      <c r="J41" s="123"/>
      <c r="K41" s="123"/>
      <c r="L41" s="123"/>
    </row>
    <row r="42" spans="1:12" ht="49.95" customHeight="1">
      <c r="A42" s="48" t="s">
        <v>19</v>
      </c>
      <c r="B42" s="38" t="s">
        <v>54</v>
      </c>
      <c r="C42" s="122" t="s">
        <v>65</v>
      </c>
      <c r="D42" s="123"/>
      <c r="E42" s="123"/>
      <c r="F42" s="123"/>
      <c r="G42" s="123"/>
      <c r="H42" s="123" t="s">
        <v>69</v>
      </c>
      <c r="I42" s="123"/>
      <c r="J42" s="123"/>
      <c r="K42" s="123"/>
      <c r="L42" s="123"/>
    </row>
    <row r="43" spans="1:12" ht="49.95" customHeight="1">
      <c r="A43" s="48" t="s">
        <v>20</v>
      </c>
      <c r="B43" s="38" t="s">
        <v>38</v>
      </c>
      <c r="C43" s="124" t="s">
        <v>212</v>
      </c>
      <c r="D43" s="125"/>
      <c r="E43" s="125"/>
      <c r="F43" s="125"/>
      <c r="G43" s="125"/>
      <c r="H43" s="123" t="s">
        <v>227</v>
      </c>
      <c r="I43" s="123"/>
      <c r="J43" s="123"/>
      <c r="K43" s="123"/>
      <c r="L43" s="123"/>
    </row>
    <row r="44" spans="1:12" ht="60" customHeight="1">
      <c r="A44" s="48" t="s">
        <v>21</v>
      </c>
      <c r="B44" s="38" t="s">
        <v>45</v>
      </c>
      <c r="C44" s="122" t="s">
        <v>214</v>
      </c>
      <c r="D44" s="123"/>
      <c r="E44" s="123"/>
      <c r="F44" s="123"/>
      <c r="G44" s="123"/>
      <c r="H44" s="123" t="s">
        <v>174</v>
      </c>
      <c r="I44" s="123"/>
      <c r="J44" s="123"/>
      <c r="K44" s="123"/>
      <c r="L44" s="123"/>
    </row>
    <row r="45" spans="1:12" ht="49.95" customHeight="1">
      <c r="A45" s="48" t="s">
        <v>22</v>
      </c>
      <c r="B45" s="38" t="s">
        <v>49</v>
      </c>
      <c r="C45" s="124" t="s">
        <v>213</v>
      </c>
      <c r="D45" s="125"/>
      <c r="E45" s="125"/>
      <c r="F45" s="125"/>
      <c r="G45" s="125"/>
      <c r="H45" s="123" t="s">
        <v>228</v>
      </c>
      <c r="I45" s="123"/>
      <c r="J45" s="123"/>
      <c r="K45" s="123"/>
      <c r="L45" s="123"/>
    </row>
    <row r="46" spans="1:12" ht="36" customHeight="1">
      <c r="A46" s="48" t="s">
        <v>23</v>
      </c>
      <c r="B46" s="38" t="s">
        <v>50</v>
      </c>
      <c r="C46" s="124" t="s">
        <v>504</v>
      </c>
      <c r="D46" s="125"/>
      <c r="E46" s="125"/>
      <c r="F46" s="125"/>
      <c r="G46" s="125"/>
      <c r="H46" s="123" t="s">
        <v>175</v>
      </c>
      <c r="I46" s="123"/>
      <c r="J46" s="123"/>
      <c r="K46" s="123"/>
      <c r="L46" s="123"/>
    </row>
    <row r="47" spans="1:12" ht="60" customHeight="1">
      <c r="A47" s="48" t="s">
        <v>24</v>
      </c>
      <c r="B47" s="38" t="s">
        <v>51</v>
      </c>
      <c r="C47" s="122" t="s">
        <v>215</v>
      </c>
      <c r="D47" s="123"/>
      <c r="E47" s="123"/>
      <c r="F47" s="123"/>
      <c r="G47" s="123"/>
      <c r="H47" s="123" t="s">
        <v>176</v>
      </c>
      <c r="I47" s="123"/>
      <c r="J47" s="123"/>
      <c r="K47" s="123"/>
      <c r="L47" s="123"/>
    </row>
    <row r="48" spans="1:12" ht="30" customHeight="1">
      <c r="C48" s="132"/>
      <c r="D48" s="132"/>
      <c r="E48" s="132"/>
      <c r="F48" s="132"/>
      <c r="G48" s="132"/>
      <c r="H48" s="132"/>
      <c r="I48" s="132"/>
      <c r="J48" s="132"/>
      <c r="K48" s="132"/>
      <c r="L48" s="132"/>
    </row>
    <row r="49" spans="1:12" ht="30" customHeight="1">
      <c r="A49" s="3" t="s">
        <v>62</v>
      </c>
      <c r="C49" s="132"/>
      <c r="D49" s="132"/>
      <c r="E49" s="132"/>
      <c r="F49" s="132"/>
      <c r="G49" s="132"/>
      <c r="H49" s="132"/>
      <c r="I49" s="132"/>
      <c r="J49" s="132"/>
      <c r="K49" s="132"/>
      <c r="L49" s="132"/>
    </row>
    <row r="50" spans="1:12" ht="30" customHeight="1">
      <c r="B50" s="38" t="s">
        <v>41</v>
      </c>
      <c r="C50" s="123"/>
      <c r="D50" s="123"/>
      <c r="E50" s="123"/>
      <c r="F50" s="123"/>
      <c r="G50" s="123"/>
      <c r="H50" s="123" t="s">
        <v>71</v>
      </c>
      <c r="I50" s="123"/>
      <c r="J50" s="123"/>
      <c r="K50" s="123"/>
      <c r="L50" s="123"/>
    </row>
    <row r="51" spans="1:12" s="16" customFormat="1" ht="30" customHeight="1">
      <c r="B51" s="38" t="s">
        <v>43</v>
      </c>
      <c r="C51" s="123"/>
      <c r="D51" s="123"/>
      <c r="E51" s="123"/>
      <c r="F51" s="123"/>
      <c r="G51" s="123"/>
      <c r="H51" s="123" t="s">
        <v>167</v>
      </c>
      <c r="I51" s="123"/>
      <c r="J51" s="123"/>
      <c r="K51" s="123"/>
      <c r="L51" s="123"/>
    </row>
    <row r="52" spans="1:12" s="16" customFormat="1" ht="16.05" customHeight="1">
      <c r="C52" s="140"/>
      <c r="D52" s="140"/>
      <c r="E52" s="140"/>
      <c r="F52" s="140"/>
      <c r="G52" s="140"/>
      <c r="H52" s="140"/>
      <c r="I52" s="140"/>
      <c r="J52" s="140"/>
      <c r="K52" s="140"/>
      <c r="L52" s="140"/>
    </row>
    <row r="53" spans="1:12" s="16" customFormat="1" ht="30" customHeight="1">
      <c r="A53" s="28" t="s">
        <v>74</v>
      </c>
      <c r="C53" s="133"/>
      <c r="D53" s="133"/>
      <c r="E53" s="133"/>
      <c r="F53" s="133"/>
      <c r="G53" s="133"/>
      <c r="H53" s="133"/>
      <c r="I53" s="133"/>
      <c r="J53" s="133"/>
      <c r="K53" s="133"/>
      <c r="L53" s="133"/>
    </row>
    <row r="54" spans="1:12" s="16" customFormat="1" ht="30" customHeight="1">
      <c r="B54" s="9" t="s">
        <v>75</v>
      </c>
      <c r="C54" s="123" t="s">
        <v>78</v>
      </c>
      <c r="D54" s="123"/>
      <c r="E54" s="123"/>
      <c r="F54" s="123"/>
      <c r="G54" s="123"/>
      <c r="H54" s="123"/>
      <c r="I54" s="123"/>
      <c r="J54" s="123"/>
      <c r="K54" s="123"/>
      <c r="L54" s="123"/>
    </row>
    <row r="55" spans="1:12" ht="30" customHeight="1">
      <c r="B55" s="9" t="s">
        <v>76</v>
      </c>
      <c r="C55" s="123"/>
      <c r="D55" s="123"/>
      <c r="E55" s="123"/>
      <c r="F55" s="123"/>
      <c r="G55" s="123"/>
      <c r="H55" s="123"/>
      <c r="I55" s="123"/>
      <c r="J55" s="123"/>
      <c r="K55" s="123"/>
      <c r="L55" s="123"/>
    </row>
    <row r="56" spans="1:12" ht="30" customHeight="1">
      <c r="B56" s="9" t="s">
        <v>77</v>
      </c>
      <c r="C56" s="134" t="s">
        <v>79</v>
      </c>
      <c r="D56" s="135"/>
      <c r="E56" s="135"/>
      <c r="F56" s="135"/>
      <c r="G56" s="135"/>
      <c r="H56" s="135"/>
      <c r="I56" s="135"/>
      <c r="J56" s="135"/>
      <c r="K56" s="135"/>
      <c r="L56" s="136"/>
    </row>
    <row r="57" spans="1:12" ht="30" customHeight="1">
      <c r="B57" s="9" t="s">
        <v>551</v>
      </c>
      <c r="C57" s="137"/>
      <c r="D57" s="138"/>
      <c r="E57" s="138"/>
      <c r="F57" s="138"/>
      <c r="G57" s="138"/>
      <c r="H57" s="138"/>
      <c r="I57" s="138"/>
      <c r="J57" s="138"/>
      <c r="K57" s="138"/>
      <c r="L57" s="139"/>
    </row>
    <row r="58" spans="1:12">
      <c r="C58" s="132"/>
      <c r="D58" s="132"/>
      <c r="E58" s="132"/>
      <c r="F58" s="132"/>
      <c r="G58" s="132"/>
      <c r="H58" s="132"/>
      <c r="I58" s="132"/>
      <c r="J58" s="132"/>
      <c r="K58" s="132"/>
      <c r="L58" s="132"/>
    </row>
    <row r="59" spans="1:12" s="16" customFormat="1" ht="30" customHeight="1">
      <c r="A59" s="28" t="s">
        <v>81</v>
      </c>
      <c r="C59" s="133"/>
      <c r="D59" s="133"/>
      <c r="E59" s="133"/>
      <c r="F59" s="133"/>
      <c r="G59" s="133"/>
      <c r="H59" s="133"/>
      <c r="I59" s="133"/>
      <c r="J59" s="133"/>
      <c r="K59" s="133"/>
      <c r="L59" s="133"/>
    </row>
    <row r="60" spans="1:12" ht="30" customHeight="1">
      <c r="B60" s="38" t="s">
        <v>80</v>
      </c>
      <c r="C60" s="123" t="s">
        <v>83</v>
      </c>
      <c r="D60" s="123"/>
      <c r="E60" s="123"/>
      <c r="F60" s="123"/>
      <c r="G60" s="123"/>
      <c r="H60" s="123"/>
      <c r="I60" s="123"/>
      <c r="J60" s="123"/>
      <c r="K60" s="123"/>
      <c r="L60" s="123"/>
    </row>
    <row r="61" spans="1:12" s="39" customFormat="1" ht="109.95" customHeight="1">
      <c r="A61" s="37"/>
      <c r="B61" s="38" t="s">
        <v>85</v>
      </c>
      <c r="C61" s="123" t="s">
        <v>84</v>
      </c>
      <c r="D61" s="123"/>
      <c r="E61" s="123"/>
      <c r="F61" s="123"/>
      <c r="G61" s="123"/>
      <c r="H61" s="123"/>
      <c r="I61" s="123"/>
      <c r="J61" s="123"/>
      <c r="K61" s="123"/>
      <c r="L61" s="123"/>
    </row>
    <row r="62" spans="1:12" ht="30" customHeight="1">
      <c r="A62"/>
      <c r="B62" s="38" t="s">
        <v>86</v>
      </c>
      <c r="C62" s="123" t="s">
        <v>87</v>
      </c>
      <c r="D62" s="123"/>
      <c r="E62" s="123"/>
      <c r="F62" s="123"/>
      <c r="G62" s="123"/>
      <c r="H62" s="123"/>
      <c r="I62" s="123"/>
      <c r="J62" s="123"/>
      <c r="K62" s="123"/>
      <c r="L62" s="123"/>
    </row>
    <row r="63" spans="1:12">
      <c r="A63" s="35"/>
      <c r="C63" s="141"/>
      <c r="D63" s="141"/>
      <c r="E63" s="141"/>
      <c r="F63" s="141"/>
      <c r="G63" s="141"/>
      <c r="H63" s="141"/>
      <c r="I63" s="141"/>
      <c r="J63" s="141"/>
      <c r="K63" s="141"/>
      <c r="L63" s="141"/>
    </row>
    <row r="64" spans="1:12" ht="15.6">
      <c r="A64" s="28" t="s">
        <v>88</v>
      </c>
      <c r="B64" s="16"/>
      <c r="C64" s="133"/>
      <c r="D64" s="133"/>
      <c r="E64" s="133"/>
      <c r="F64" s="133"/>
      <c r="G64" s="133"/>
      <c r="H64" s="133"/>
      <c r="I64" s="133"/>
      <c r="J64" s="133"/>
      <c r="K64" s="133"/>
      <c r="L64" s="133"/>
    </row>
    <row r="65" spans="1:12" ht="60" customHeight="1">
      <c r="A65" s="26"/>
      <c r="B65" s="36" t="s">
        <v>89</v>
      </c>
      <c r="C65" s="123" t="s">
        <v>90</v>
      </c>
      <c r="D65" s="123"/>
      <c r="E65" s="123"/>
      <c r="F65" s="123"/>
      <c r="G65" s="123"/>
      <c r="H65" s="123"/>
      <c r="I65" s="123"/>
      <c r="J65" s="123"/>
      <c r="K65" s="123"/>
      <c r="L65" s="123"/>
    </row>
  </sheetData>
  <mergeCells count="49">
    <mergeCell ref="A4:B4"/>
    <mergeCell ref="C60:L60"/>
    <mergeCell ref="C61:L61"/>
    <mergeCell ref="C62:L62"/>
    <mergeCell ref="C59:G59"/>
    <mergeCell ref="H41:L41"/>
    <mergeCell ref="H42:L42"/>
    <mergeCell ref="H43:L43"/>
    <mergeCell ref="H48:L48"/>
    <mergeCell ref="H49:L49"/>
    <mergeCell ref="H44:L44"/>
    <mergeCell ref="H45:L45"/>
    <mergeCell ref="H46:L46"/>
    <mergeCell ref="H47:L47"/>
    <mergeCell ref="C49:G49"/>
    <mergeCell ref="C50:G50"/>
    <mergeCell ref="C65:L65"/>
    <mergeCell ref="H63:L63"/>
    <mergeCell ref="H64:L64"/>
    <mergeCell ref="H59:L59"/>
    <mergeCell ref="C64:G64"/>
    <mergeCell ref="C63:G63"/>
    <mergeCell ref="C51:G51"/>
    <mergeCell ref="C58:G58"/>
    <mergeCell ref="C53:G53"/>
    <mergeCell ref="C56:L57"/>
    <mergeCell ref="H51:L51"/>
    <mergeCell ref="H58:L58"/>
    <mergeCell ref="H52:L52"/>
    <mergeCell ref="H53:L53"/>
    <mergeCell ref="C54:L55"/>
    <mergeCell ref="C52:G52"/>
    <mergeCell ref="A8:B8"/>
    <mergeCell ref="A13:B13"/>
    <mergeCell ref="C39:G39"/>
    <mergeCell ref="C40:G40"/>
    <mergeCell ref="H39:L39"/>
    <mergeCell ref="H40:L40"/>
    <mergeCell ref="D6:L6"/>
    <mergeCell ref="C47:G47"/>
    <mergeCell ref="C46:G46"/>
    <mergeCell ref="H50:L50"/>
    <mergeCell ref="C4:M4"/>
    <mergeCell ref="C41:G41"/>
    <mergeCell ref="C42:G42"/>
    <mergeCell ref="C43:G43"/>
    <mergeCell ref="C44:G44"/>
    <mergeCell ref="C45:G45"/>
    <mergeCell ref="C48:G48"/>
  </mergeCells>
  <pageMargins left="0.47244094488188981" right="0.47244094488188981" top="0.98425196850393704" bottom="0.98425196850393704" header="0.31496062992125984" footer="0.31496062992125984"/>
  <pageSetup paperSize="9" scale="68" orientation="landscape" horizontalDpi="180" verticalDpi="180" r:id="rId1"/>
  <rowBreaks count="1" manualBreakCount="1">
    <brk id="31" max="16383" man="1"/>
  </rowBreaks>
  <ignoredErrors>
    <ignoredError sqref="E7" twoDigitTextYear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92"/>
  <sheetViews>
    <sheetView topLeftCell="A14" workbookViewId="0">
      <selection activeCell="C15" sqref="C15:D15"/>
    </sheetView>
  </sheetViews>
  <sheetFormatPr defaultRowHeight="15"/>
  <cols>
    <col min="1" max="1" width="16.77734375" style="26" customWidth="1"/>
    <col min="2" max="2" width="61.77734375" style="26" customWidth="1"/>
    <col min="3" max="12" width="10.77734375" style="26" customWidth="1"/>
    <col min="13" max="13" width="11.21875" style="26" customWidth="1"/>
    <col min="14" max="16384" width="8.88671875" style="26"/>
  </cols>
  <sheetData>
    <row r="1" spans="1:14" ht="28.05" customHeight="1">
      <c r="C1" s="33" t="s">
        <v>72</v>
      </c>
      <c r="D1" s="34"/>
      <c r="E1" s="34"/>
      <c r="F1" s="34"/>
      <c r="G1" s="34"/>
      <c r="I1" s="33" t="s">
        <v>73</v>
      </c>
      <c r="J1" s="34"/>
      <c r="K1" s="34"/>
      <c r="L1" s="34"/>
      <c r="M1" s="34"/>
    </row>
    <row r="2" spans="1:14" ht="28.05" customHeight="1">
      <c r="C2" s="33"/>
      <c r="D2" s="16"/>
      <c r="E2" s="16"/>
      <c r="F2" s="16"/>
      <c r="G2" s="16"/>
      <c r="I2" s="33"/>
      <c r="J2" s="16"/>
      <c r="K2" s="16"/>
      <c r="L2" s="16"/>
      <c r="M2" s="16"/>
    </row>
    <row r="4" spans="1:14" s="4" customFormat="1" ht="19.95" customHeight="1">
      <c r="A4" s="142" t="s">
        <v>91</v>
      </c>
      <c r="B4" s="142"/>
      <c r="C4" s="126" t="s">
        <v>30</v>
      </c>
      <c r="D4" s="126"/>
      <c r="E4" s="126"/>
      <c r="F4" s="126"/>
      <c r="G4" s="126"/>
      <c r="H4" s="126"/>
      <c r="I4" s="126"/>
      <c r="J4" s="126"/>
      <c r="K4" s="126"/>
      <c r="L4" s="126"/>
      <c r="M4" s="126"/>
    </row>
    <row r="5" spans="1:14" ht="19.95" customHeight="1"/>
    <row r="6" spans="1:14" s="28" customFormat="1" ht="30" customHeight="1">
      <c r="A6" s="10" t="s">
        <v>2</v>
      </c>
      <c r="B6" s="10" t="s">
        <v>3</v>
      </c>
      <c r="C6" s="6" t="s">
        <v>10</v>
      </c>
      <c r="D6" s="121" t="s">
        <v>4</v>
      </c>
      <c r="E6" s="121"/>
      <c r="F6" s="121"/>
      <c r="G6" s="121"/>
      <c r="H6" s="121"/>
      <c r="I6" s="121"/>
      <c r="J6" s="121"/>
      <c r="K6" s="121"/>
      <c r="L6" s="121"/>
      <c r="M6" s="17" t="s">
        <v>16</v>
      </c>
      <c r="N6" s="5"/>
    </row>
    <row r="7" spans="1:14" ht="15.6">
      <c r="C7" s="20" t="s">
        <v>5</v>
      </c>
      <c r="D7" s="21" t="s">
        <v>6</v>
      </c>
      <c r="E7" s="20" t="s">
        <v>7</v>
      </c>
      <c r="F7" s="21" t="s">
        <v>8</v>
      </c>
      <c r="G7" s="20" t="s">
        <v>9</v>
      </c>
      <c r="H7" s="21" t="s">
        <v>11</v>
      </c>
      <c r="I7" s="20" t="s">
        <v>12</v>
      </c>
      <c r="J7" s="21" t="s">
        <v>13</v>
      </c>
      <c r="K7" s="20" t="s">
        <v>14</v>
      </c>
      <c r="L7" s="21" t="s">
        <v>15</v>
      </c>
      <c r="M7" s="7"/>
    </row>
    <row r="8" spans="1:14" ht="16.05" customHeight="1">
      <c r="A8" s="127" t="s">
        <v>0</v>
      </c>
      <c r="B8" s="127"/>
    </row>
    <row r="9" spans="1:14" ht="16.05" customHeight="1">
      <c r="A9" s="8" t="s">
        <v>92</v>
      </c>
      <c r="B9" s="9" t="s">
        <v>136</v>
      </c>
      <c r="C9" s="43">
        <v>160</v>
      </c>
      <c r="D9" s="43">
        <f>D11/5</f>
        <v>228</v>
      </c>
      <c r="E9" s="43"/>
      <c r="F9" s="43"/>
      <c r="G9" s="43"/>
      <c r="H9" s="43"/>
      <c r="I9" s="43"/>
      <c r="J9" s="43"/>
      <c r="K9" s="43"/>
      <c r="L9" s="43"/>
      <c r="M9" s="44">
        <v>1200</v>
      </c>
    </row>
    <row r="10" spans="1:14" ht="16.05" customHeight="1">
      <c r="A10" s="8" t="s">
        <v>93</v>
      </c>
      <c r="B10" s="9" t="s">
        <v>137</v>
      </c>
      <c r="C10" s="43">
        <v>640</v>
      </c>
      <c r="D10" s="43">
        <f>D11*4/5</f>
        <v>912</v>
      </c>
      <c r="E10" s="43"/>
      <c r="F10" s="43"/>
      <c r="G10" s="43"/>
      <c r="H10" s="43"/>
      <c r="I10" s="43"/>
      <c r="J10" s="43"/>
      <c r="K10" s="43"/>
      <c r="L10" s="43"/>
      <c r="M10" s="44">
        <v>4800</v>
      </c>
    </row>
    <row r="11" spans="1:14" ht="16.05" customHeight="1">
      <c r="A11" s="8" t="s">
        <v>94</v>
      </c>
      <c r="B11" s="9" t="s">
        <v>138</v>
      </c>
      <c r="C11" s="43">
        <f>C9+C10</f>
        <v>800</v>
      </c>
      <c r="D11" s="43">
        <f>C11-C9+C44</f>
        <v>1140</v>
      </c>
      <c r="E11" s="43"/>
      <c r="F11" s="43"/>
      <c r="G11" s="43"/>
      <c r="H11" s="43"/>
      <c r="I11" s="43"/>
      <c r="J11" s="43"/>
      <c r="K11" s="43"/>
      <c r="L11" s="43"/>
      <c r="M11" s="44">
        <v>6000</v>
      </c>
    </row>
    <row r="12" spans="1:14" ht="16.05" customHeight="1">
      <c r="A12" s="8" t="s">
        <v>95</v>
      </c>
      <c r="B12" s="9" t="s">
        <v>139</v>
      </c>
      <c r="C12" s="43">
        <v>0</v>
      </c>
      <c r="D12" s="43">
        <f>D14/5</f>
        <v>60</v>
      </c>
      <c r="E12" s="43"/>
      <c r="F12" s="43"/>
      <c r="G12" s="43"/>
      <c r="H12" s="43"/>
      <c r="I12" s="43"/>
      <c r="J12" s="43"/>
      <c r="K12" s="43"/>
      <c r="L12" s="43"/>
      <c r="M12" s="44">
        <v>840</v>
      </c>
    </row>
    <row r="13" spans="1:14" ht="16.05" customHeight="1">
      <c r="A13" s="8" t="s">
        <v>96</v>
      </c>
      <c r="B13" s="9" t="s">
        <v>140</v>
      </c>
      <c r="C13" s="43">
        <v>0</v>
      </c>
      <c r="D13" s="43">
        <f>D14*4/5</f>
        <v>240</v>
      </c>
      <c r="E13" s="43"/>
      <c r="F13" s="43"/>
      <c r="G13" s="43"/>
      <c r="H13" s="43"/>
      <c r="I13" s="43"/>
      <c r="J13" s="43"/>
      <c r="K13" s="43"/>
      <c r="L13" s="43"/>
      <c r="M13" s="44">
        <v>3360</v>
      </c>
    </row>
    <row r="14" spans="1:14" ht="16.05" customHeight="1">
      <c r="A14" s="8" t="s">
        <v>97</v>
      </c>
      <c r="B14" s="9" t="s">
        <v>141</v>
      </c>
      <c r="C14" s="43">
        <f>C12+C13</f>
        <v>0</v>
      </c>
      <c r="D14" s="43">
        <f>C14-C12+C45</f>
        <v>300</v>
      </c>
      <c r="E14" s="43"/>
      <c r="F14" s="43"/>
      <c r="G14" s="43"/>
      <c r="H14" s="43"/>
      <c r="I14" s="43"/>
      <c r="J14" s="43"/>
      <c r="K14" s="43"/>
      <c r="L14" s="43"/>
      <c r="M14" s="44">
        <v>4200</v>
      </c>
    </row>
    <row r="15" spans="1:14" ht="16.05" customHeight="1">
      <c r="A15" s="8" t="s">
        <v>98</v>
      </c>
      <c r="B15" s="9" t="s">
        <v>171</v>
      </c>
      <c r="C15" s="43">
        <v>15000</v>
      </c>
      <c r="D15" s="43">
        <f>D27+D29+C34</f>
        <v>18850</v>
      </c>
      <c r="E15" s="43"/>
      <c r="F15" s="43"/>
      <c r="G15" s="43"/>
      <c r="H15" s="43"/>
      <c r="I15" s="43"/>
      <c r="J15" s="43"/>
      <c r="K15" s="43"/>
      <c r="L15" s="43"/>
      <c r="M15" s="44">
        <v>56000</v>
      </c>
    </row>
    <row r="16" spans="1:14" ht="16.05" customHeight="1"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</row>
    <row r="17" spans="1:13" ht="16.05" customHeight="1">
      <c r="A17" s="127" t="s">
        <v>1</v>
      </c>
      <c r="B17" s="127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</row>
    <row r="18" spans="1:13" ht="16.05" customHeight="1">
      <c r="A18" s="8" t="s">
        <v>99</v>
      </c>
      <c r="B18" s="9" t="s">
        <v>142</v>
      </c>
      <c r="C18" s="11">
        <v>0.2</v>
      </c>
      <c r="D18" s="11">
        <v>0.2</v>
      </c>
      <c r="E18" s="11">
        <v>0.2</v>
      </c>
      <c r="F18" s="11">
        <v>0.2</v>
      </c>
      <c r="G18" s="11">
        <v>0.2</v>
      </c>
      <c r="H18" s="11">
        <v>0.2</v>
      </c>
      <c r="I18" s="11">
        <v>0.2</v>
      </c>
      <c r="J18" s="11">
        <v>0.2</v>
      </c>
      <c r="K18" s="11">
        <v>0.2</v>
      </c>
      <c r="L18" s="11">
        <v>0.2</v>
      </c>
      <c r="M18" s="18">
        <v>0.2</v>
      </c>
    </row>
    <row r="19" spans="1:13" ht="16.05" customHeight="1">
      <c r="A19" s="8" t="s">
        <v>100</v>
      </c>
      <c r="B19" s="9" t="s">
        <v>143</v>
      </c>
      <c r="C19" s="43">
        <v>400</v>
      </c>
      <c r="D19" s="43">
        <f>Население!C26/5</f>
        <v>400</v>
      </c>
      <c r="E19" s="43"/>
      <c r="F19" s="43"/>
      <c r="G19" s="43"/>
      <c r="H19" s="43"/>
      <c r="I19" s="43"/>
      <c r="J19" s="43"/>
      <c r="K19" s="43"/>
      <c r="L19" s="43"/>
      <c r="M19" s="44">
        <v>7500</v>
      </c>
    </row>
    <row r="20" spans="1:13" ht="16.05" customHeight="1">
      <c r="A20" s="8" t="s">
        <v>101</v>
      </c>
      <c r="B20" s="9" t="s">
        <v>144</v>
      </c>
      <c r="C20" s="46">
        <v>1</v>
      </c>
      <c r="D20" s="197">
        <v>0.64</v>
      </c>
      <c r="E20" s="46"/>
      <c r="F20" s="46"/>
      <c r="G20" s="46"/>
      <c r="H20" s="46"/>
      <c r="I20" s="46"/>
      <c r="J20" s="46"/>
      <c r="K20" s="46"/>
      <c r="L20" s="46"/>
      <c r="M20" s="47">
        <v>0.4</v>
      </c>
    </row>
    <row r="21" spans="1:13" ht="16.05" customHeight="1">
      <c r="A21" s="8" t="s">
        <v>102</v>
      </c>
      <c r="B21" s="9" t="s">
        <v>145</v>
      </c>
      <c r="C21" s="46">
        <v>12.5</v>
      </c>
      <c r="D21" s="46">
        <f>D20*2.5*5</f>
        <v>8</v>
      </c>
      <c r="E21" s="46"/>
      <c r="F21" s="46"/>
      <c r="G21" s="46"/>
      <c r="H21" s="46"/>
      <c r="I21" s="46"/>
      <c r="J21" s="46"/>
      <c r="K21" s="46"/>
      <c r="L21" s="46"/>
      <c r="M21" s="47">
        <v>5</v>
      </c>
    </row>
    <row r="22" spans="1:13" ht="16.05" customHeight="1">
      <c r="A22" s="8" t="s">
        <v>103</v>
      </c>
      <c r="B22" s="9" t="s">
        <v>146</v>
      </c>
      <c r="C22" s="43">
        <v>10000</v>
      </c>
      <c r="D22" s="43">
        <f>D21*'Сельхоз и ОС'!D11</f>
        <v>6720</v>
      </c>
      <c r="E22" s="43"/>
      <c r="F22" s="43"/>
      <c r="G22" s="43"/>
      <c r="H22" s="43"/>
      <c r="I22" s="43"/>
      <c r="J22" s="43"/>
      <c r="K22" s="43"/>
      <c r="L22" s="43"/>
      <c r="M22" s="44">
        <v>12500</v>
      </c>
    </row>
    <row r="23" spans="1:13" ht="16.05" customHeight="1">
      <c r="A23" s="8" t="s">
        <v>104</v>
      </c>
      <c r="B23" s="9" t="s">
        <v>147</v>
      </c>
      <c r="C23" s="11">
        <v>20</v>
      </c>
      <c r="D23" s="11">
        <f>D20*4*5</f>
        <v>12.8</v>
      </c>
      <c r="E23" s="11"/>
      <c r="F23" s="11"/>
      <c r="G23" s="11"/>
      <c r="H23" s="11"/>
      <c r="I23" s="11"/>
      <c r="J23" s="11"/>
      <c r="K23" s="11"/>
      <c r="L23" s="11"/>
      <c r="M23" s="18">
        <v>8</v>
      </c>
    </row>
    <row r="24" spans="1:13" ht="16.05" customHeight="1">
      <c r="A24" s="8" t="s">
        <v>105</v>
      </c>
      <c r="B24" s="9" t="s">
        <v>148</v>
      </c>
      <c r="C24" s="43">
        <v>6000</v>
      </c>
      <c r="D24" s="43">
        <f>D23*Промышленность!D11</f>
        <v>4352</v>
      </c>
      <c r="E24" s="43"/>
      <c r="F24" s="43"/>
      <c r="G24" s="43"/>
      <c r="H24" s="43"/>
      <c r="I24" s="43"/>
      <c r="J24" s="43"/>
      <c r="K24" s="43"/>
      <c r="L24" s="43"/>
      <c r="M24" s="44">
        <v>36000</v>
      </c>
    </row>
    <row r="25" spans="1:13" ht="16.05" customHeight="1">
      <c r="A25" s="8" t="s">
        <v>106</v>
      </c>
      <c r="B25" s="9" t="s">
        <v>149</v>
      </c>
      <c r="C25" s="43">
        <f>C22+C24</f>
        <v>16000</v>
      </c>
      <c r="D25" s="43">
        <f>D22+D24</f>
        <v>11072</v>
      </c>
      <c r="E25" s="43"/>
      <c r="F25" s="43"/>
      <c r="G25" s="43"/>
      <c r="H25" s="43"/>
      <c r="I25" s="43"/>
      <c r="J25" s="43"/>
      <c r="K25" s="43"/>
      <c r="L25" s="43"/>
      <c r="M25" s="44">
        <v>48500</v>
      </c>
    </row>
    <row r="26" spans="1:13" ht="16.05" customHeight="1">
      <c r="A26" s="8" t="s">
        <v>107</v>
      </c>
      <c r="B26" s="9" t="s">
        <v>153</v>
      </c>
      <c r="C26" s="46">
        <v>17.5</v>
      </c>
      <c r="D26" s="46">
        <f>D27/D11</f>
        <v>15.657894736842104</v>
      </c>
      <c r="E26" s="46"/>
      <c r="F26" s="46"/>
      <c r="G26" s="46"/>
      <c r="H26" s="46"/>
      <c r="I26" s="46"/>
      <c r="J26" s="46"/>
      <c r="K26" s="46"/>
      <c r="L26" s="46"/>
      <c r="M26" s="47">
        <v>5</v>
      </c>
    </row>
    <row r="27" spans="1:13" ht="16.05" customHeight="1">
      <c r="A27" s="8" t="s">
        <v>108</v>
      </c>
      <c r="B27" s="9" t="s">
        <v>150</v>
      </c>
      <c r="C27" s="43">
        <v>14000</v>
      </c>
      <c r="D27" s="43">
        <v>17850</v>
      </c>
      <c r="E27" s="43"/>
      <c r="F27" s="43"/>
      <c r="G27" s="43"/>
      <c r="H27" s="43"/>
      <c r="I27" s="43"/>
      <c r="J27" s="43"/>
      <c r="K27" s="43"/>
      <c r="L27" s="43"/>
      <c r="M27" s="44">
        <v>30000</v>
      </c>
    </row>
    <row r="28" spans="1:13" ht="16.05" customHeight="1">
      <c r="A28" s="8" t="s">
        <v>109</v>
      </c>
      <c r="B28" s="9" t="s">
        <v>151</v>
      </c>
      <c r="C28" s="43">
        <v>0</v>
      </c>
      <c r="D28" s="43">
        <f>C33</f>
        <v>0</v>
      </c>
      <c r="E28" s="43"/>
      <c r="F28" s="43"/>
      <c r="G28" s="43"/>
      <c r="H28" s="43"/>
      <c r="I28" s="43"/>
      <c r="J28" s="43"/>
      <c r="K28" s="43"/>
      <c r="L28" s="43"/>
      <c r="M28" s="44">
        <v>0</v>
      </c>
    </row>
    <row r="29" spans="1:13" ht="16.05" customHeight="1">
      <c r="A29" s="8" t="s">
        <v>110</v>
      </c>
      <c r="B29" s="9" t="s">
        <v>152</v>
      </c>
      <c r="C29" s="43">
        <v>1000</v>
      </c>
      <c r="D29" s="43">
        <f>'Торговля и финансы'!C34/'Торговля и финансы'!C16</f>
        <v>1000</v>
      </c>
      <c r="E29" s="43"/>
      <c r="F29" s="43"/>
      <c r="G29" s="43"/>
      <c r="H29" s="43"/>
      <c r="I29" s="43"/>
      <c r="J29" s="43"/>
      <c r="K29" s="43"/>
      <c r="L29" s="43"/>
      <c r="M29" s="44">
        <v>26000</v>
      </c>
    </row>
    <row r="30" spans="1:13" ht="16.05" customHeight="1"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</row>
    <row r="31" spans="1:13" ht="16.05" customHeight="1">
      <c r="A31" s="194" t="s">
        <v>111</v>
      </c>
      <c r="B31" s="13" t="s">
        <v>123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</row>
    <row r="32" spans="1:13" ht="16.05" customHeight="1">
      <c r="A32" s="8" t="s">
        <v>112</v>
      </c>
      <c r="B32" s="26" t="s">
        <v>158</v>
      </c>
      <c r="C32" s="195">
        <v>400</v>
      </c>
      <c r="D32" s="195"/>
      <c r="E32" s="195"/>
      <c r="F32" s="195"/>
      <c r="G32" s="195"/>
      <c r="H32" s="195"/>
      <c r="I32" s="195"/>
      <c r="J32" s="195"/>
      <c r="K32" s="195"/>
      <c r="L32" s="195"/>
      <c r="M32" s="15"/>
    </row>
    <row r="33" spans="1:13" ht="16.05" customHeight="1">
      <c r="A33" s="8" t="s">
        <v>113</v>
      </c>
      <c r="B33" s="9" t="s">
        <v>154</v>
      </c>
      <c r="C33" s="195">
        <f>'Торговля и финансы'!C22</f>
        <v>0</v>
      </c>
      <c r="D33" s="195"/>
      <c r="E33" s="195"/>
      <c r="F33" s="195"/>
      <c r="G33" s="195"/>
      <c r="H33" s="195"/>
      <c r="I33" s="195"/>
      <c r="J33" s="195"/>
      <c r="K33" s="195"/>
      <c r="L33" s="195"/>
      <c r="M33" s="15"/>
    </row>
    <row r="34" spans="1:13" ht="16.05" customHeight="1">
      <c r="A34" s="8" t="s">
        <v>114</v>
      </c>
      <c r="B34" s="9" t="s">
        <v>156</v>
      </c>
      <c r="C34" s="195">
        <v>0</v>
      </c>
      <c r="D34" s="195"/>
      <c r="E34" s="195"/>
      <c r="F34" s="195"/>
      <c r="G34" s="195"/>
      <c r="H34" s="195"/>
      <c r="I34" s="195"/>
      <c r="J34" s="195"/>
      <c r="K34" s="195"/>
      <c r="L34" s="195"/>
      <c r="M34" s="15"/>
    </row>
    <row r="35" spans="1:13" ht="16.05" customHeight="1">
      <c r="A35" s="8" t="s">
        <v>115</v>
      </c>
      <c r="B35" s="9" t="s">
        <v>157</v>
      </c>
      <c r="C35" s="195">
        <v>14600</v>
      </c>
      <c r="D35" s="195"/>
      <c r="E35" s="195"/>
      <c r="F35" s="195"/>
      <c r="G35" s="195"/>
      <c r="H35" s="195"/>
      <c r="I35" s="195"/>
      <c r="J35" s="195"/>
      <c r="K35" s="195"/>
      <c r="L35" s="195"/>
      <c r="M35" s="15"/>
    </row>
    <row r="36" spans="1:13" ht="16.05" customHeight="1">
      <c r="A36" s="19" t="s">
        <v>42</v>
      </c>
      <c r="B36" s="9" t="s">
        <v>116</v>
      </c>
      <c r="C36" s="45">
        <f>IF(C32+C33+C34+C35=C15, C15,"проверь!")</f>
        <v>15000</v>
      </c>
      <c r="D36" s="11"/>
      <c r="E36" s="11"/>
      <c r="F36" s="11"/>
      <c r="G36" s="11"/>
      <c r="H36" s="11"/>
      <c r="I36" s="11"/>
      <c r="J36" s="11"/>
      <c r="K36" s="11"/>
      <c r="L36" s="11"/>
      <c r="M36" s="15"/>
    </row>
    <row r="37" spans="1:13" ht="16.05" customHeight="1"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5"/>
    </row>
    <row r="38" spans="1:13" ht="16.05" customHeight="1">
      <c r="A38" s="194" t="s">
        <v>117</v>
      </c>
      <c r="B38" s="13" t="s">
        <v>118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5"/>
    </row>
    <row r="39" spans="1:13" ht="16.05" customHeight="1">
      <c r="A39" s="8" t="s">
        <v>119</v>
      </c>
      <c r="B39" s="9" t="s">
        <v>159</v>
      </c>
      <c r="C39" s="195">
        <v>8000</v>
      </c>
      <c r="D39" s="195"/>
      <c r="E39" s="195"/>
      <c r="F39" s="195"/>
      <c r="G39" s="195"/>
      <c r="H39" s="195"/>
      <c r="I39" s="195"/>
      <c r="J39" s="195"/>
      <c r="K39" s="195"/>
      <c r="L39" s="195"/>
      <c r="M39" s="15"/>
    </row>
    <row r="40" spans="1:13" ht="16.05" customHeight="1">
      <c r="A40" s="8" t="s">
        <v>120</v>
      </c>
      <c r="B40" s="9" t="s">
        <v>160</v>
      </c>
      <c r="C40" s="195">
        <v>6600</v>
      </c>
      <c r="D40" s="195"/>
      <c r="E40" s="195"/>
      <c r="F40" s="195"/>
      <c r="G40" s="195"/>
      <c r="H40" s="195"/>
      <c r="I40" s="195"/>
      <c r="J40" s="195"/>
      <c r="K40" s="195"/>
      <c r="L40" s="195"/>
      <c r="M40" s="15"/>
    </row>
    <row r="41" spans="1:13" ht="16.05" customHeight="1">
      <c r="A41" s="19" t="s">
        <v>42</v>
      </c>
      <c r="B41" s="9" t="s">
        <v>122</v>
      </c>
      <c r="C41" s="11">
        <f>IF(C39+C40=C35, C35, "проверь!")</f>
        <v>14600</v>
      </c>
      <c r="D41" s="11"/>
      <c r="E41" s="11"/>
      <c r="F41" s="11"/>
      <c r="G41" s="11"/>
      <c r="H41" s="11"/>
      <c r="I41" s="11"/>
      <c r="J41" s="11"/>
      <c r="K41" s="11"/>
      <c r="L41" s="11"/>
      <c r="M41" s="15"/>
    </row>
    <row r="42" spans="1:13" ht="16.05" customHeight="1">
      <c r="M42" s="16"/>
    </row>
    <row r="43" spans="1:13" ht="16.05" customHeight="1">
      <c r="A43" s="194" t="s">
        <v>225</v>
      </c>
      <c r="B43" s="13" t="s">
        <v>124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5"/>
    </row>
    <row r="44" spans="1:13" ht="16.05" customHeight="1">
      <c r="A44" s="8" t="s">
        <v>121</v>
      </c>
      <c r="B44" s="9" t="s">
        <v>161</v>
      </c>
      <c r="C44" s="195">
        <v>500</v>
      </c>
      <c r="D44" s="195"/>
      <c r="E44" s="195"/>
      <c r="F44" s="195"/>
      <c r="G44" s="195"/>
      <c r="H44" s="195"/>
      <c r="I44" s="195"/>
      <c r="J44" s="195"/>
      <c r="K44" s="195"/>
      <c r="L44" s="195"/>
      <c r="M44" s="15"/>
    </row>
    <row r="45" spans="1:13" ht="16.05" customHeight="1">
      <c r="A45" s="8" t="s">
        <v>125</v>
      </c>
      <c r="B45" s="9" t="s">
        <v>162</v>
      </c>
      <c r="C45" s="195">
        <v>300</v>
      </c>
      <c r="D45" s="195"/>
      <c r="E45" s="195"/>
      <c r="F45" s="195"/>
      <c r="G45" s="195"/>
      <c r="H45" s="195"/>
      <c r="I45" s="195"/>
      <c r="J45" s="195"/>
      <c r="K45" s="195"/>
      <c r="L45" s="195"/>
      <c r="M45" s="15"/>
    </row>
    <row r="46" spans="1:13" ht="16.05" customHeight="1">
      <c r="A46" s="40"/>
      <c r="B46" s="16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</row>
    <row r="47" spans="1:13" ht="16.05" customHeight="1">
      <c r="A47" s="40"/>
      <c r="B47" s="16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</row>
    <row r="48" spans="1:13" ht="16.05" customHeight="1">
      <c r="A48" s="40"/>
      <c r="B48" s="16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</row>
    <row r="49" spans="1:13" ht="16.05" customHeight="1">
      <c r="A49" s="40"/>
      <c r="B49" s="16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</row>
    <row r="50" spans="1:13" ht="16.05" customHeight="1">
      <c r="A50" s="40"/>
      <c r="B50" s="16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</row>
    <row r="51" spans="1:13" ht="16.05" customHeight="1">
      <c r="A51" s="28" t="s">
        <v>35</v>
      </c>
      <c r="C51" s="26" t="s">
        <v>44</v>
      </c>
      <c r="D51" s="26" t="s">
        <v>46</v>
      </c>
      <c r="G51" s="26" t="s">
        <v>70</v>
      </c>
    </row>
    <row r="52" spans="1:13" ht="16.05" customHeight="1">
      <c r="C52" s="26" t="s">
        <v>47</v>
      </c>
      <c r="D52" s="26" t="s">
        <v>48</v>
      </c>
      <c r="G52" s="26" t="s">
        <v>67</v>
      </c>
    </row>
    <row r="53" spans="1:13" ht="19.95" customHeight="1">
      <c r="A53" s="4" t="s">
        <v>34</v>
      </c>
    </row>
    <row r="54" spans="1:13" ht="16.05" customHeight="1"/>
    <row r="55" spans="1:13" ht="16.05" customHeight="1">
      <c r="A55" s="10" t="s">
        <v>2</v>
      </c>
      <c r="B55" s="10" t="s">
        <v>3</v>
      </c>
      <c r="C55" s="128" t="s">
        <v>39</v>
      </c>
      <c r="D55" s="128"/>
      <c r="E55" s="128"/>
      <c r="F55" s="128"/>
      <c r="G55" s="128"/>
      <c r="H55" s="128" t="s">
        <v>40</v>
      </c>
      <c r="I55" s="128"/>
      <c r="J55" s="128"/>
      <c r="K55" s="128"/>
      <c r="L55" s="128"/>
    </row>
    <row r="56" spans="1:13" ht="70.05" customHeight="1">
      <c r="A56" s="48" t="s">
        <v>92</v>
      </c>
      <c r="B56" s="38" t="s">
        <v>136</v>
      </c>
      <c r="C56" s="149" t="s">
        <v>163</v>
      </c>
      <c r="D56" s="143"/>
      <c r="E56" s="143"/>
      <c r="F56" s="143"/>
      <c r="G56" s="143"/>
      <c r="H56" s="144" t="s">
        <v>297</v>
      </c>
      <c r="I56" s="145"/>
      <c r="J56" s="145"/>
      <c r="K56" s="145"/>
      <c r="L56" s="146"/>
    </row>
    <row r="57" spans="1:13" ht="49.95" customHeight="1">
      <c r="A57" s="48" t="s">
        <v>93</v>
      </c>
      <c r="B57" s="38" t="s">
        <v>137</v>
      </c>
      <c r="C57" s="149" t="s">
        <v>164</v>
      </c>
      <c r="D57" s="143"/>
      <c r="E57" s="143"/>
      <c r="F57" s="143"/>
      <c r="G57" s="143"/>
      <c r="H57" s="144" t="s">
        <v>168</v>
      </c>
      <c r="I57" s="145"/>
      <c r="J57" s="145"/>
      <c r="K57" s="145"/>
      <c r="L57" s="146"/>
    </row>
    <row r="58" spans="1:13" s="32" customFormat="1" ht="90" customHeight="1">
      <c r="A58" s="48" t="s">
        <v>94</v>
      </c>
      <c r="B58" s="38" t="s">
        <v>138</v>
      </c>
      <c r="C58" s="149" t="s">
        <v>165</v>
      </c>
      <c r="D58" s="143"/>
      <c r="E58" s="143"/>
      <c r="F58" s="143"/>
      <c r="G58" s="143"/>
      <c r="H58" s="143" t="s">
        <v>229</v>
      </c>
      <c r="I58" s="143"/>
      <c r="J58" s="143"/>
      <c r="K58" s="143"/>
      <c r="L58" s="143"/>
    </row>
    <row r="59" spans="1:13" ht="70.05" customHeight="1">
      <c r="A59" s="48" t="s">
        <v>95</v>
      </c>
      <c r="B59" s="38" t="s">
        <v>139</v>
      </c>
      <c r="C59" s="153" t="s">
        <v>540</v>
      </c>
      <c r="D59" s="154"/>
      <c r="E59" s="154"/>
      <c r="F59" s="154"/>
      <c r="G59" s="154"/>
      <c r="H59" s="144" t="s">
        <v>298</v>
      </c>
      <c r="I59" s="145"/>
      <c r="J59" s="145"/>
      <c r="K59" s="145"/>
      <c r="L59" s="146"/>
    </row>
    <row r="60" spans="1:13" ht="64.95" customHeight="1">
      <c r="A60" s="48" t="s">
        <v>96</v>
      </c>
      <c r="B60" s="38" t="s">
        <v>140</v>
      </c>
      <c r="C60" s="153" t="s">
        <v>541</v>
      </c>
      <c r="D60" s="154"/>
      <c r="E60" s="154"/>
      <c r="F60" s="154"/>
      <c r="G60" s="154"/>
      <c r="H60" s="144" t="s">
        <v>177</v>
      </c>
      <c r="I60" s="145"/>
      <c r="J60" s="145"/>
      <c r="K60" s="145"/>
      <c r="L60" s="146"/>
    </row>
    <row r="61" spans="1:13" ht="120" customHeight="1">
      <c r="A61" s="48" t="s">
        <v>97</v>
      </c>
      <c r="B61" s="38" t="s">
        <v>141</v>
      </c>
      <c r="C61" s="149" t="s">
        <v>169</v>
      </c>
      <c r="D61" s="143"/>
      <c r="E61" s="143"/>
      <c r="F61" s="143"/>
      <c r="G61" s="143"/>
      <c r="H61" s="143" t="s">
        <v>232</v>
      </c>
      <c r="I61" s="143"/>
      <c r="J61" s="143"/>
      <c r="K61" s="143"/>
      <c r="L61" s="143"/>
    </row>
    <row r="62" spans="1:13" ht="120" customHeight="1">
      <c r="A62" s="48" t="s">
        <v>98</v>
      </c>
      <c r="B62" s="38" t="s">
        <v>155</v>
      </c>
      <c r="C62" s="150" t="s">
        <v>170</v>
      </c>
      <c r="D62" s="151"/>
      <c r="E62" s="151"/>
      <c r="F62" s="151"/>
      <c r="G62" s="152"/>
      <c r="H62" s="144" t="s">
        <v>178</v>
      </c>
      <c r="I62" s="145"/>
      <c r="J62" s="145"/>
      <c r="K62" s="145"/>
      <c r="L62" s="146"/>
    </row>
    <row r="63" spans="1:13" ht="49.95" customHeight="1">
      <c r="A63" s="48" t="s">
        <v>99</v>
      </c>
      <c r="B63" s="38" t="s">
        <v>142</v>
      </c>
      <c r="C63" s="150" t="s">
        <v>172</v>
      </c>
      <c r="D63" s="151"/>
      <c r="E63" s="151"/>
      <c r="F63" s="151"/>
      <c r="G63" s="152"/>
      <c r="H63" s="143" t="s">
        <v>173</v>
      </c>
      <c r="I63" s="143"/>
      <c r="J63" s="143"/>
      <c r="K63" s="143"/>
      <c r="L63" s="143"/>
    </row>
    <row r="64" spans="1:13" ht="100.05" customHeight="1">
      <c r="A64" s="48" t="s">
        <v>100</v>
      </c>
      <c r="B64" s="38" t="s">
        <v>143</v>
      </c>
      <c r="C64" s="150" t="s">
        <v>505</v>
      </c>
      <c r="D64" s="151"/>
      <c r="E64" s="151"/>
      <c r="F64" s="151"/>
      <c r="G64" s="152"/>
      <c r="H64" s="143" t="s">
        <v>230</v>
      </c>
      <c r="I64" s="143"/>
      <c r="J64" s="143"/>
      <c r="K64" s="143"/>
      <c r="L64" s="143"/>
    </row>
    <row r="65" spans="1:13" ht="90" customHeight="1">
      <c r="A65" s="48" t="s">
        <v>101</v>
      </c>
      <c r="B65" s="38" t="s">
        <v>130</v>
      </c>
      <c r="C65" s="122" t="s">
        <v>550</v>
      </c>
      <c r="D65" s="123"/>
      <c r="E65" s="123"/>
      <c r="F65" s="123"/>
      <c r="G65" s="123"/>
      <c r="H65" s="144" t="s">
        <v>206</v>
      </c>
      <c r="I65" s="145"/>
      <c r="J65" s="145"/>
      <c r="K65" s="145"/>
      <c r="L65" s="146"/>
    </row>
    <row r="66" spans="1:13" ht="120" customHeight="1">
      <c r="A66" s="48" t="s">
        <v>102</v>
      </c>
      <c r="B66" s="38" t="s">
        <v>145</v>
      </c>
      <c r="C66" s="150" t="s">
        <v>197</v>
      </c>
      <c r="D66" s="151"/>
      <c r="E66" s="151"/>
      <c r="F66" s="151"/>
      <c r="G66" s="152"/>
      <c r="H66" s="144" t="s">
        <v>220</v>
      </c>
      <c r="I66" s="145"/>
      <c r="J66" s="145"/>
      <c r="K66" s="145"/>
      <c r="L66" s="146"/>
    </row>
    <row r="67" spans="1:13" ht="45" customHeight="1">
      <c r="A67" s="48" t="s">
        <v>103</v>
      </c>
      <c r="B67" s="38" t="s">
        <v>146</v>
      </c>
      <c r="C67" s="150" t="s">
        <v>199</v>
      </c>
      <c r="D67" s="151"/>
      <c r="E67" s="151"/>
      <c r="F67" s="151"/>
      <c r="G67" s="152"/>
      <c r="H67" s="123" t="s">
        <v>200</v>
      </c>
      <c r="I67" s="123"/>
      <c r="J67" s="123"/>
      <c r="K67" s="123"/>
      <c r="L67" s="123"/>
    </row>
    <row r="68" spans="1:13" ht="120" customHeight="1">
      <c r="A68" s="48" t="s">
        <v>104</v>
      </c>
      <c r="B68" s="38" t="s">
        <v>147</v>
      </c>
      <c r="C68" s="150" t="s">
        <v>198</v>
      </c>
      <c r="D68" s="151"/>
      <c r="E68" s="151"/>
      <c r="F68" s="151"/>
      <c r="G68" s="152"/>
      <c r="H68" s="144" t="s">
        <v>219</v>
      </c>
      <c r="I68" s="145"/>
      <c r="J68" s="145"/>
      <c r="K68" s="145"/>
      <c r="L68" s="146"/>
    </row>
    <row r="69" spans="1:13" ht="45" customHeight="1">
      <c r="A69" s="48" t="s">
        <v>105</v>
      </c>
      <c r="B69" s="38" t="s">
        <v>148</v>
      </c>
      <c r="C69" s="150" t="s">
        <v>202</v>
      </c>
      <c r="D69" s="151"/>
      <c r="E69" s="151"/>
      <c r="F69" s="151"/>
      <c r="G69" s="152"/>
      <c r="H69" s="123" t="s">
        <v>201</v>
      </c>
      <c r="I69" s="123"/>
      <c r="J69" s="123"/>
      <c r="K69" s="123"/>
      <c r="L69" s="123"/>
    </row>
    <row r="70" spans="1:13" ht="45" customHeight="1">
      <c r="A70" s="48" t="s">
        <v>106</v>
      </c>
      <c r="B70" s="38" t="s">
        <v>149</v>
      </c>
      <c r="C70" s="150" t="s">
        <v>203</v>
      </c>
      <c r="D70" s="151"/>
      <c r="E70" s="151"/>
      <c r="F70" s="151"/>
      <c r="G70" s="152"/>
      <c r="H70" s="123" t="s">
        <v>204</v>
      </c>
      <c r="I70" s="123"/>
      <c r="J70" s="123"/>
      <c r="K70" s="123"/>
      <c r="L70" s="123"/>
    </row>
    <row r="71" spans="1:13" ht="79.95" customHeight="1">
      <c r="A71" s="48" t="s">
        <v>107</v>
      </c>
      <c r="B71" s="38" t="s">
        <v>153</v>
      </c>
      <c r="C71" s="150" t="s">
        <v>544</v>
      </c>
      <c r="D71" s="151"/>
      <c r="E71" s="151"/>
      <c r="F71" s="151"/>
      <c r="G71" s="152"/>
      <c r="H71" s="144" t="s">
        <v>217</v>
      </c>
      <c r="I71" s="145"/>
      <c r="J71" s="145"/>
      <c r="K71" s="145"/>
      <c r="L71" s="146"/>
    </row>
    <row r="72" spans="1:13" ht="90" customHeight="1">
      <c r="A72" s="48" t="s">
        <v>108</v>
      </c>
      <c r="B72" s="38" t="s">
        <v>150</v>
      </c>
      <c r="C72" s="122" t="s">
        <v>542</v>
      </c>
      <c r="D72" s="123"/>
      <c r="E72" s="123"/>
      <c r="F72" s="123"/>
      <c r="G72" s="123"/>
      <c r="H72" s="144" t="s">
        <v>218</v>
      </c>
      <c r="I72" s="145"/>
      <c r="J72" s="145"/>
      <c r="K72" s="145"/>
      <c r="L72" s="146"/>
    </row>
    <row r="73" spans="1:13" ht="45" customHeight="1">
      <c r="A73" s="48" t="s">
        <v>109</v>
      </c>
      <c r="B73" s="38" t="s">
        <v>151</v>
      </c>
      <c r="C73" s="155" t="s">
        <v>383</v>
      </c>
      <c r="D73" s="156"/>
      <c r="E73" s="156"/>
      <c r="F73" s="156"/>
      <c r="G73" s="156"/>
      <c r="H73" s="148" t="s">
        <v>231</v>
      </c>
      <c r="I73" s="148"/>
      <c r="J73" s="148"/>
      <c r="K73" s="148"/>
      <c r="L73" s="148"/>
      <c r="M73" s="42"/>
    </row>
    <row r="74" spans="1:13" ht="100.05" customHeight="1">
      <c r="A74" s="48" t="s">
        <v>110</v>
      </c>
      <c r="B74" s="38" t="s">
        <v>152</v>
      </c>
      <c r="C74" s="147" t="s">
        <v>473</v>
      </c>
      <c r="D74" s="148"/>
      <c r="E74" s="148"/>
      <c r="F74" s="148"/>
      <c r="G74" s="148"/>
      <c r="H74" s="148" t="s">
        <v>474</v>
      </c>
      <c r="I74" s="148"/>
      <c r="J74" s="148"/>
      <c r="K74" s="148"/>
      <c r="L74" s="148"/>
      <c r="M74" s="42"/>
    </row>
    <row r="75" spans="1:13" ht="30" customHeight="1">
      <c r="C75" s="132"/>
      <c r="D75" s="132"/>
      <c r="E75" s="132"/>
      <c r="F75" s="132"/>
      <c r="G75" s="132"/>
      <c r="H75" s="132"/>
      <c r="I75" s="132"/>
      <c r="J75" s="132"/>
      <c r="K75" s="132"/>
      <c r="L75" s="132"/>
    </row>
    <row r="76" spans="1:13" ht="30" customHeight="1">
      <c r="A76" s="28" t="s">
        <v>62</v>
      </c>
      <c r="C76" s="132"/>
      <c r="D76" s="132"/>
      <c r="E76" s="132"/>
      <c r="F76" s="132"/>
      <c r="G76" s="132"/>
      <c r="H76" s="132"/>
      <c r="I76" s="132"/>
      <c r="J76" s="132"/>
      <c r="K76" s="132"/>
      <c r="L76" s="132"/>
    </row>
    <row r="77" spans="1:13" ht="100.05" customHeight="1">
      <c r="B77" s="50" t="s">
        <v>116</v>
      </c>
      <c r="C77" s="143" t="s">
        <v>233</v>
      </c>
      <c r="D77" s="143"/>
      <c r="E77" s="143"/>
      <c r="F77" s="143"/>
      <c r="G77" s="143"/>
      <c r="H77" s="143" t="s">
        <v>221</v>
      </c>
      <c r="I77" s="143"/>
      <c r="J77" s="143"/>
      <c r="K77" s="143"/>
      <c r="L77" s="143"/>
    </row>
    <row r="78" spans="1:13" s="16" customFormat="1" ht="70.05" customHeight="1">
      <c r="B78" s="50" t="s">
        <v>122</v>
      </c>
      <c r="C78" s="143"/>
      <c r="D78" s="143"/>
      <c r="E78" s="143"/>
      <c r="F78" s="143"/>
      <c r="G78" s="143"/>
      <c r="H78" s="143" t="s">
        <v>222</v>
      </c>
      <c r="I78" s="143"/>
      <c r="J78" s="143"/>
      <c r="K78" s="143"/>
      <c r="L78" s="143"/>
    </row>
    <row r="79" spans="1:13" s="32" customFormat="1" ht="16.05" customHeight="1"/>
    <row r="80" spans="1:13" s="16" customFormat="1" ht="30" customHeight="1">
      <c r="A80" s="28" t="s">
        <v>74</v>
      </c>
      <c r="C80" s="133"/>
      <c r="D80" s="133"/>
      <c r="E80" s="133"/>
      <c r="F80" s="133"/>
      <c r="G80" s="133"/>
      <c r="H80" s="133"/>
      <c r="I80" s="133"/>
      <c r="J80" s="133"/>
      <c r="K80" s="133"/>
      <c r="L80" s="133"/>
    </row>
    <row r="81" spans="1:12" s="16" customFormat="1" ht="49.95" customHeight="1">
      <c r="B81" s="60" t="s">
        <v>223</v>
      </c>
      <c r="C81" s="144" t="s">
        <v>234</v>
      </c>
      <c r="D81" s="145"/>
      <c r="E81" s="145"/>
      <c r="F81" s="145"/>
      <c r="G81" s="145"/>
      <c r="H81" s="145"/>
      <c r="I81" s="145"/>
      <c r="J81" s="145"/>
      <c r="K81" s="145"/>
      <c r="L81" s="146"/>
    </row>
    <row r="82" spans="1:12" s="16" customFormat="1" ht="19.95" customHeight="1">
      <c r="B82" s="60" t="s">
        <v>335</v>
      </c>
      <c r="C82" s="143" t="s">
        <v>337</v>
      </c>
      <c r="D82" s="143"/>
      <c r="E82" s="143"/>
      <c r="F82" s="143"/>
      <c r="G82" s="143"/>
      <c r="H82" s="143"/>
      <c r="I82" s="143"/>
      <c r="J82" s="143"/>
      <c r="K82" s="143"/>
      <c r="L82" s="143"/>
    </row>
    <row r="83" spans="1:12" s="16" customFormat="1" ht="19.95" customHeight="1">
      <c r="B83" s="60" t="s">
        <v>336</v>
      </c>
      <c r="C83" s="143"/>
      <c r="D83" s="143"/>
      <c r="E83" s="143"/>
      <c r="F83" s="143"/>
      <c r="G83" s="143"/>
      <c r="H83" s="143"/>
      <c r="I83" s="143"/>
      <c r="J83" s="143"/>
      <c r="K83" s="143"/>
      <c r="L83" s="143"/>
    </row>
    <row r="84" spans="1:12" ht="16.05" customHeight="1"/>
    <row r="85" spans="1:12" s="16" customFormat="1" ht="30" customHeight="1">
      <c r="A85" s="28" t="s">
        <v>81</v>
      </c>
      <c r="C85" s="133"/>
      <c r="D85" s="133"/>
      <c r="E85" s="133"/>
      <c r="F85" s="133"/>
      <c r="G85" s="133"/>
      <c r="H85" s="133"/>
      <c r="I85" s="133"/>
      <c r="J85" s="133"/>
      <c r="K85" s="133"/>
      <c r="L85" s="133"/>
    </row>
    <row r="86" spans="1:12" ht="60" customHeight="1">
      <c r="B86" s="50" t="s">
        <v>224</v>
      </c>
      <c r="C86" s="143" t="s">
        <v>226</v>
      </c>
      <c r="D86" s="143"/>
      <c r="E86" s="143"/>
      <c r="F86" s="143"/>
      <c r="G86" s="143"/>
      <c r="H86" s="143"/>
      <c r="I86" s="143"/>
      <c r="J86" s="143"/>
      <c r="K86" s="143"/>
      <c r="L86" s="143"/>
    </row>
    <row r="87" spans="1:12" s="39" customFormat="1" ht="70.05" customHeight="1">
      <c r="A87" s="37"/>
      <c r="B87" s="50" t="s">
        <v>235</v>
      </c>
      <c r="C87" s="144" t="s">
        <v>236</v>
      </c>
      <c r="D87" s="145"/>
      <c r="E87" s="145"/>
      <c r="F87" s="145"/>
      <c r="G87" s="145"/>
      <c r="H87" s="145"/>
      <c r="I87" s="145"/>
      <c r="J87" s="145"/>
      <c r="K87" s="145"/>
      <c r="L87" s="146"/>
    </row>
    <row r="88" spans="1:12" ht="120" customHeight="1">
      <c r="A88"/>
      <c r="B88" s="38" t="s">
        <v>85</v>
      </c>
      <c r="C88" s="123" t="s">
        <v>84</v>
      </c>
      <c r="D88" s="123"/>
      <c r="E88" s="123"/>
      <c r="F88" s="123"/>
      <c r="G88" s="123"/>
      <c r="H88" s="123"/>
      <c r="I88" s="123"/>
      <c r="J88" s="123"/>
      <c r="K88" s="123"/>
      <c r="L88" s="123"/>
    </row>
    <row r="89" spans="1:12">
      <c r="A89" s="35"/>
      <c r="C89" s="141"/>
      <c r="D89" s="141"/>
      <c r="E89" s="141"/>
      <c r="F89" s="141"/>
      <c r="G89" s="141"/>
      <c r="H89" s="141"/>
      <c r="I89" s="141"/>
      <c r="J89" s="141"/>
      <c r="K89" s="141"/>
      <c r="L89" s="141"/>
    </row>
    <row r="90" spans="1:12" ht="15.6">
      <c r="A90" s="28" t="s">
        <v>88</v>
      </c>
      <c r="B90" s="16"/>
      <c r="C90" s="133"/>
      <c r="D90" s="133"/>
      <c r="E90" s="133"/>
      <c r="F90" s="133"/>
      <c r="G90" s="133"/>
      <c r="H90" s="133"/>
      <c r="I90" s="133"/>
      <c r="J90" s="133"/>
      <c r="K90" s="133"/>
      <c r="L90" s="133"/>
    </row>
    <row r="91" spans="1:12" ht="75" customHeight="1">
      <c r="B91" s="68" t="s">
        <v>553</v>
      </c>
      <c r="C91" s="160" t="s">
        <v>205</v>
      </c>
      <c r="D91" s="160"/>
      <c r="E91" s="160"/>
      <c r="F91" s="160"/>
      <c r="G91" s="160"/>
      <c r="H91" s="160"/>
      <c r="I91" s="160"/>
      <c r="J91" s="160"/>
      <c r="K91" s="160"/>
      <c r="L91" s="160"/>
    </row>
    <row r="92" spans="1:12" ht="49.95" customHeight="1">
      <c r="B92" s="62" t="s">
        <v>469</v>
      </c>
      <c r="C92" s="157" t="s">
        <v>470</v>
      </c>
      <c r="D92" s="158"/>
      <c r="E92" s="158"/>
      <c r="F92" s="158"/>
      <c r="G92" s="158"/>
      <c r="H92" s="158"/>
      <c r="I92" s="158"/>
      <c r="J92" s="158"/>
      <c r="K92" s="158"/>
      <c r="L92" s="159"/>
    </row>
  </sheetData>
  <mergeCells count="68">
    <mergeCell ref="C92:L92"/>
    <mergeCell ref="C91:L91"/>
    <mergeCell ref="C85:G85"/>
    <mergeCell ref="H85:L85"/>
    <mergeCell ref="C86:L86"/>
    <mergeCell ref="C88:L88"/>
    <mergeCell ref="C89:G89"/>
    <mergeCell ref="H89:L89"/>
    <mergeCell ref="C78:G78"/>
    <mergeCell ref="H78:L78"/>
    <mergeCell ref="C80:G80"/>
    <mergeCell ref="H80:L80"/>
    <mergeCell ref="C90:G90"/>
    <mergeCell ref="H90:L90"/>
    <mergeCell ref="C81:L81"/>
    <mergeCell ref="C87:L87"/>
    <mergeCell ref="C82:L83"/>
    <mergeCell ref="C61:G61"/>
    <mergeCell ref="H61:L61"/>
    <mergeCell ref="C73:G73"/>
    <mergeCell ref="H73:L73"/>
    <mergeCell ref="C65:G65"/>
    <mergeCell ref="C66:G66"/>
    <mergeCell ref="C67:G67"/>
    <mergeCell ref="C68:G68"/>
    <mergeCell ref="C69:G69"/>
    <mergeCell ref="C70:G70"/>
    <mergeCell ref="C71:G71"/>
    <mergeCell ref="C72:G72"/>
    <mergeCell ref="H65:L65"/>
    <mergeCell ref="H66:L66"/>
    <mergeCell ref="H71:L71"/>
    <mergeCell ref="H72:L72"/>
    <mergeCell ref="C4:M4"/>
    <mergeCell ref="A8:B8"/>
    <mergeCell ref="A17:B17"/>
    <mergeCell ref="C55:G55"/>
    <mergeCell ref="H55:L55"/>
    <mergeCell ref="A4:B4"/>
    <mergeCell ref="D6:L6"/>
    <mergeCell ref="C56:G56"/>
    <mergeCell ref="H56:L56"/>
    <mergeCell ref="C62:G62"/>
    <mergeCell ref="C63:G63"/>
    <mergeCell ref="C64:G64"/>
    <mergeCell ref="H62:L62"/>
    <mergeCell ref="H63:L63"/>
    <mergeCell ref="H64:L64"/>
    <mergeCell ref="C57:G57"/>
    <mergeCell ref="H57:L57"/>
    <mergeCell ref="C58:G58"/>
    <mergeCell ref="H58:L58"/>
    <mergeCell ref="C59:G59"/>
    <mergeCell ref="H59:L59"/>
    <mergeCell ref="C60:G60"/>
    <mergeCell ref="H60:L60"/>
    <mergeCell ref="H67:L67"/>
    <mergeCell ref="H68:L68"/>
    <mergeCell ref="H69:L69"/>
    <mergeCell ref="H70:L70"/>
    <mergeCell ref="C74:G74"/>
    <mergeCell ref="H74:L74"/>
    <mergeCell ref="C75:G75"/>
    <mergeCell ref="H75:L75"/>
    <mergeCell ref="C76:G76"/>
    <mergeCell ref="H76:L76"/>
    <mergeCell ref="C77:G77"/>
    <mergeCell ref="H77:L77"/>
  </mergeCells>
  <pageMargins left="0.47244094488188981" right="0.47244094488188981" top="0.47244094488188981" bottom="0.47244094488188981" header="0.31496062992125984" footer="0.31496062992125984"/>
  <pageSetup paperSize="9" scale="68" orientation="landscape" horizontalDpi="180" verticalDpi="180" r:id="rId1"/>
  <rowBreaks count="1" manualBreakCount="1">
    <brk id="47" max="16383" man="1"/>
  </rowBreaks>
  <ignoredErrors>
    <ignoredError sqref="E7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73"/>
  <sheetViews>
    <sheetView topLeftCell="A9" workbookViewId="0">
      <selection activeCell="C25" sqref="C25:D25"/>
    </sheetView>
  </sheetViews>
  <sheetFormatPr defaultRowHeight="15"/>
  <cols>
    <col min="1" max="1" width="16.77734375" style="26" customWidth="1"/>
    <col min="2" max="2" width="61.77734375" style="26" customWidth="1"/>
    <col min="3" max="12" width="10.77734375" style="26" customWidth="1"/>
    <col min="13" max="13" width="11.21875" style="26" customWidth="1"/>
    <col min="14" max="16384" width="8.88671875" style="26"/>
  </cols>
  <sheetData>
    <row r="1" spans="1:14" ht="28.05" customHeight="1">
      <c r="C1" s="33" t="s">
        <v>72</v>
      </c>
      <c r="D1" s="34"/>
      <c r="E1" s="34"/>
      <c r="F1" s="34"/>
      <c r="G1" s="34"/>
      <c r="I1" s="33" t="s">
        <v>73</v>
      </c>
      <c r="J1" s="34"/>
      <c r="K1" s="34"/>
      <c r="L1" s="34"/>
      <c r="M1" s="34"/>
    </row>
    <row r="2" spans="1:14" ht="28.05" customHeight="1">
      <c r="C2" s="33"/>
      <c r="D2" s="16"/>
      <c r="E2" s="16"/>
      <c r="F2" s="16"/>
      <c r="G2" s="16"/>
      <c r="I2" s="33"/>
      <c r="J2" s="16"/>
      <c r="K2" s="16"/>
      <c r="L2" s="16"/>
      <c r="M2" s="16"/>
    </row>
    <row r="4" spans="1:14" s="4" customFormat="1" ht="19.95" customHeight="1">
      <c r="A4" s="142" t="s">
        <v>237</v>
      </c>
      <c r="B4" s="142"/>
      <c r="C4" s="126" t="s">
        <v>30</v>
      </c>
      <c r="D4" s="126"/>
      <c r="E4" s="126"/>
      <c r="F4" s="126"/>
      <c r="G4" s="126"/>
      <c r="H4" s="126"/>
      <c r="I4" s="126"/>
      <c r="J4" s="126"/>
      <c r="K4" s="126"/>
      <c r="L4" s="126"/>
      <c r="M4" s="126"/>
    </row>
    <row r="5" spans="1:14" ht="19.95" customHeight="1"/>
    <row r="6" spans="1:14" s="28" customFormat="1" ht="30" customHeight="1">
      <c r="A6" s="10" t="s">
        <v>2</v>
      </c>
      <c r="B6" s="10" t="s">
        <v>3</v>
      </c>
      <c r="C6" s="6" t="s">
        <v>10</v>
      </c>
      <c r="D6" s="121" t="s">
        <v>4</v>
      </c>
      <c r="E6" s="121"/>
      <c r="F6" s="121"/>
      <c r="G6" s="121"/>
      <c r="H6" s="121"/>
      <c r="I6" s="121"/>
      <c r="J6" s="121"/>
      <c r="K6" s="121"/>
      <c r="L6" s="121"/>
      <c r="M6" s="17" t="s">
        <v>16</v>
      </c>
      <c r="N6" s="5"/>
    </row>
    <row r="7" spans="1:14" ht="15.6">
      <c r="C7" s="20" t="s">
        <v>5</v>
      </c>
      <c r="D7" s="21" t="s">
        <v>6</v>
      </c>
      <c r="E7" s="20" t="s">
        <v>7</v>
      </c>
      <c r="F7" s="21" t="s">
        <v>8</v>
      </c>
      <c r="G7" s="20" t="s">
        <v>9</v>
      </c>
      <c r="H7" s="21" t="s">
        <v>11</v>
      </c>
      <c r="I7" s="20" t="s">
        <v>12</v>
      </c>
      <c r="J7" s="21" t="s">
        <v>13</v>
      </c>
      <c r="K7" s="20" t="s">
        <v>14</v>
      </c>
      <c r="L7" s="21" t="s">
        <v>15</v>
      </c>
      <c r="M7" s="7"/>
    </row>
    <row r="8" spans="1:14" ht="16.05" customHeight="1">
      <c r="A8" s="127" t="s">
        <v>0</v>
      </c>
      <c r="B8" s="127"/>
    </row>
    <row r="9" spans="1:14" ht="16.05" customHeight="1">
      <c r="A9" s="8" t="s">
        <v>238</v>
      </c>
      <c r="B9" s="9" t="s">
        <v>257</v>
      </c>
      <c r="C9" s="11">
        <v>60</v>
      </c>
      <c r="D9" s="198">
        <f>D11/5</f>
        <v>68</v>
      </c>
      <c r="E9" s="11"/>
      <c r="F9" s="11"/>
      <c r="G9" s="11"/>
      <c r="H9" s="11"/>
      <c r="I9" s="11"/>
      <c r="J9" s="11"/>
      <c r="K9" s="11"/>
      <c r="L9" s="11"/>
      <c r="M9" s="18">
        <v>900</v>
      </c>
    </row>
    <row r="10" spans="1:14" s="32" customFormat="1" ht="16.05" customHeight="1">
      <c r="A10" s="8" t="s">
        <v>239</v>
      </c>
      <c r="B10" s="9" t="s">
        <v>258</v>
      </c>
      <c r="C10" s="43">
        <v>240</v>
      </c>
      <c r="D10" s="43">
        <f>D11*4/5</f>
        <v>272</v>
      </c>
      <c r="E10" s="43"/>
      <c r="F10" s="43"/>
      <c r="G10" s="43"/>
      <c r="H10" s="43"/>
      <c r="I10" s="43"/>
      <c r="J10" s="43"/>
      <c r="K10" s="43"/>
      <c r="L10" s="43"/>
      <c r="M10" s="44">
        <v>3600</v>
      </c>
    </row>
    <row r="11" spans="1:14" s="32" customFormat="1" ht="16.05" customHeight="1">
      <c r="A11" s="8" t="s">
        <v>240</v>
      </c>
      <c r="B11" s="9" t="s">
        <v>259</v>
      </c>
      <c r="C11" s="43">
        <f>C9+C10</f>
        <v>300</v>
      </c>
      <c r="D11" s="43">
        <f>C11-C9+C30</f>
        <v>340</v>
      </c>
      <c r="E11" s="43"/>
      <c r="F11" s="43"/>
      <c r="G11" s="43"/>
      <c r="H11" s="43"/>
      <c r="I11" s="43"/>
      <c r="J11" s="43"/>
      <c r="K11" s="43"/>
      <c r="L11" s="43"/>
      <c r="M11" s="44">
        <v>4500</v>
      </c>
    </row>
    <row r="12" spans="1:14" s="32" customFormat="1" ht="16.05" customHeight="1">
      <c r="A12" s="8" t="s">
        <v>241</v>
      </c>
      <c r="B12" s="9" t="s">
        <v>260</v>
      </c>
      <c r="C12" s="43">
        <v>50</v>
      </c>
      <c r="D12" s="43">
        <f>D14/9</f>
        <v>88.888888888888886</v>
      </c>
      <c r="E12" s="43"/>
      <c r="F12" s="43"/>
      <c r="G12" s="43"/>
      <c r="H12" s="43"/>
      <c r="I12" s="43"/>
      <c r="J12" s="43"/>
      <c r="K12" s="43"/>
      <c r="L12" s="43"/>
      <c r="M12" s="44">
        <v>1000</v>
      </c>
    </row>
    <row r="13" spans="1:14" ht="16.05" customHeight="1">
      <c r="A13" s="8" t="s">
        <v>242</v>
      </c>
      <c r="B13" s="9" t="s">
        <v>261</v>
      </c>
      <c r="C13" s="43">
        <v>400</v>
      </c>
      <c r="D13" s="43">
        <f>D14*8/9</f>
        <v>711.11111111111109</v>
      </c>
      <c r="E13" s="43"/>
      <c r="F13" s="43"/>
      <c r="G13" s="43"/>
      <c r="H13" s="43"/>
      <c r="I13" s="43"/>
      <c r="J13" s="43"/>
      <c r="K13" s="43"/>
      <c r="L13" s="43"/>
      <c r="M13" s="44">
        <v>8000</v>
      </c>
    </row>
    <row r="14" spans="1:14" ht="16.05" customHeight="1">
      <c r="A14" s="8" t="s">
        <v>243</v>
      </c>
      <c r="B14" s="9" t="s">
        <v>262</v>
      </c>
      <c r="C14" s="43">
        <f>C12+C13</f>
        <v>450</v>
      </c>
      <c r="D14" s="43">
        <f>C14-C12+C31</f>
        <v>800</v>
      </c>
      <c r="E14" s="43"/>
      <c r="F14" s="43"/>
      <c r="G14" s="43"/>
      <c r="H14" s="43"/>
      <c r="I14" s="43"/>
      <c r="J14" s="43"/>
      <c r="K14" s="43"/>
      <c r="L14" s="43"/>
      <c r="M14" s="44">
        <v>9000</v>
      </c>
    </row>
    <row r="15" spans="1:14" ht="16.05" customHeight="1"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</row>
    <row r="16" spans="1:14" ht="16.05" customHeight="1">
      <c r="A16" s="127" t="s">
        <v>1</v>
      </c>
      <c r="B16" s="127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</row>
    <row r="17" spans="1:13" ht="16.05" customHeight="1">
      <c r="A17" s="8" t="s">
        <v>244</v>
      </c>
      <c r="B17" s="9" t="s">
        <v>263</v>
      </c>
      <c r="C17" s="11">
        <v>6</v>
      </c>
      <c r="D17" s="197">
        <f>D11/0.25/Население!D9</f>
        <v>6.1818181818181817</v>
      </c>
      <c r="E17" s="11"/>
      <c r="F17" s="11"/>
      <c r="G17" s="11"/>
      <c r="H17" s="11"/>
      <c r="I17" s="11"/>
      <c r="J17" s="11"/>
      <c r="K17" s="11"/>
      <c r="L17" s="11"/>
      <c r="M17" s="18">
        <v>36</v>
      </c>
    </row>
    <row r="18" spans="1:13" s="32" customFormat="1" ht="16.05" customHeight="1">
      <c r="A18" s="8" t="s">
        <v>245</v>
      </c>
      <c r="B18" s="38" t="s">
        <v>307</v>
      </c>
      <c r="C18" s="11">
        <v>5</v>
      </c>
      <c r="D18" s="11">
        <v>6.22</v>
      </c>
      <c r="E18" s="11"/>
      <c r="F18" s="11"/>
      <c r="G18" s="11"/>
      <c r="H18" s="11"/>
      <c r="I18" s="11"/>
      <c r="J18" s="11"/>
      <c r="K18" s="11"/>
      <c r="L18" s="11"/>
      <c r="M18" s="18">
        <v>19.399999999999999</v>
      </c>
    </row>
    <row r="19" spans="1:13" s="32" customFormat="1" ht="16.05" customHeight="1">
      <c r="A19" s="8" t="s">
        <v>246</v>
      </c>
      <c r="B19" s="9" t="s">
        <v>264</v>
      </c>
      <c r="C19" s="11">
        <v>2.25</v>
      </c>
      <c r="D19" s="197">
        <f>D14/Население!D9</f>
        <v>3.6363636363636362</v>
      </c>
      <c r="E19" s="11"/>
      <c r="F19" s="11"/>
      <c r="G19" s="11"/>
      <c r="H19" s="11"/>
      <c r="I19" s="11"/>
      <c r="J19" s="11"/>
      <c r="K19" s="11"/>
      <c r="L19" s="11"/>
      <c r="M19" s="18">
        <v>18</v>
      </c>
    </row>
    <row r="20" spans="1:13" s="32" customFormat="1" ht="16.05" customHeight="1">
      <c r="A20" s="8" t="s">
        <v>247</v>
      </c>
      <c r="B20" s="38" t="s">
        <v>306</v>
      </c>
      <c r="C20" s="11">
        <v>2.13</v>
      </c>
      <c r="D20" s="11">
        <v>2.81</v>
      </c>
      <c r="E20" s="11"/>
      <c r="F20" s="11"/>
      <c r="G20" s="11"/>
      <c r="H20" s="11"/>
      <c r="I20" s="11"/>
      <c r="J20" s="11"/>
      <c r="K20" s="11"/>
      <c r="L20" s="11"/>
      <c r="M20" s="18">
        <v>4.9000000000000004</v>
      </c>
    </row>
    <row r="21" spans="1:13" s="32" customFormat="1" ht="16.05" customHeight="1">
      <c r="A21" s="8" t="s">
        <v>248</v>
      </c>
      <c r="B21" s="9" t="s">
        <v>265</v>
      </c>
      <c r="C21" s="11">
        <v>1</v>
      </c>
      <c r="D21" s="46">
        <f>IF(Энергетика!C40/Энергетика!C24&gt;1.1,1.1,Энергетика!C40/Энергетика!C24)</f>
        <v>1.1000000000000001</v>
      </c>
      <c r="E21" s="11"/>
      <c r="F21" s="11"/>
      <c r="G21" s="11"/>
      <c r="H21" s="11"/>
      <c r="I21" s="11"/>
      <c r="J21" s="11"/>
      <c r="K21" s="11"/>
      <c r="L21" s="11"/>
      <c r="M21" s="18">
        <v>1</v>
      </c>
    </row>
    <row r="22" spans="1:13" s="32" customFormat="1" ht="16.05" customHeight="1">
      <c r="A22" s="8" t="s">
        <v>249</v>
      </c>
      <c r="B22" s="9" t="s">
        <v>319</v>
      </c>
      <c r="C22" s="43">
        <v>3000</v>
      </c>
      <c r="D22" s="43">
        <v>5577</v>
      </c>
      <c r="E22" s="43"/>
      <c r="F22" s="43"/>
      <c r="G22" s="43"/>
      <c r="H22" s="43"/>
      <c r="I22" s="43"/>
      <c r="J22" s="43"/>
      <c r="K22" s="43"/>
      <c r="L22" s="43"/>
      <c r="M22" s="44">
        <v>68600</v>
      </c>
    </row>
    <row r="23" spans="1:13" s="32" customFormat="1" ht="16.05" customHeight="1">
      <c r="A23" s="8" t="s">
        <v>250</v>
      </c>
      <c r="B23" s="9" t="s">
        <v>266</v>
      </c>
      <c r="C23" s="43">
        <v>0</v>
      </c>
      <c r="D23" s="43">
        <f>'Торговля и финансы'!C23</f>
        <v>0</v>
      </c>
      <c r="E23" s="43"/>
      <c r="F23" s="43"/>
      <c r="G23" s="43"/>
      <c r="H23" s="43"/>
      <c r="I23" s="43"/>
      <c r="J23" s="43"/>
      <c r="K23" s="43"/>
      <c r="L23" s="43"/>
      <c r="M23" s="44">
        <v>26000</v>
      </c>
    </row>
    <row r="24" spans="1:13" s="32" customFormat="1" ht="16.05" customHeight="1">
      <c r="A24" s="8" t="s">
        <v>251</v>
      </c>
      <c r="B24" s="9" t="s">
        <v>267</v>
      </c>
      <c r="C24" s="43">
        <v>500</v>
      </c>
      <c r="D24" s="43">
        <f>'Торговля и финансы'!C35/'Торговля и финансы'!D17</f>
        <v>1181.8181818181818</v>
      </c>
      <c r="E24" s="43"/>
      <c r="F24" s="43"/>
      <c r="G24" s="43"/>
      <c r="H24" s="43"/>
      <c r="I24" s="43"/>
      <c r="J24" s="43"/>
      <c r="K24" s="43"/>
      <c r="L24" s="43"/>
      <c r="M24" s="44">
        <v>0</v>
      </c>
    </row>
    <row r="25" spans="1:13" s="32" customFormat="1" ht="16.05" customHeight="1">
      <c r="A25" s="8" t="s">
        <v>252</v>
      </c>
      <c r="B25" s="9" t="s">
        <v>318</v>
      </c>
      <c r="C25" s="43">
        <v>3100</v>
      </c>
      <c r="D25" s="43">
        <v>5577</v>
      </c>
      <c r="E25" s="43"/>
      <c r="F25" s="43"/>
      <c r="G25" s="43"/>
      <c r="H25" s="43"/>
      <c r="I25" s="43"/>
      <c r="J25" s="43"/>
      <c r="K25" s="43"/>
      <c r="L25" s="43"/>
      <c r="M25" s="44">
        <v>68600</v>
      </c>
    </row>
    <row r="26" spans="1:13" ht="16.05" customHeight="1">
      <c r="A26" s="8" t="s">
        <v>253</v>
      </c>
      <c r="B26" s="9" t="s">
        <v>289</v>
      </c>
      <c r="C26" s="43">
        <f>C22+C24</f>
        <v>3500</v>
      </c>
      <c r="D26" s="43">
        <f>D22+D24</f>
        <v>6758.818181818182</v>
      </c>
      <c r="E26" s="43"/>
      <c r="F26" s="43"/>
      <c r="G26" s="43"/>
      <c r="H26" s="43"/>
      <c r="I26" s="43"/>
      <c r="J26" s="43"/>
      <c r="K26" s="43"/>
      <c r="L26" s="43"/>
      <c r="M26" s="44">
        <v>68600</v>
      </c>
    </row>
    <row r="27" spans="1:13" ht="16.05" customHeight="1">
      <c r="A27" s="8" t="s">
        <v>254</v>
      </c>
      <c r="B27" s="9" t="s">
        <v>271</v>
      </c>
      <c r="C27" s="43">
        <v>430</v>
      </c>
      <c r="D27" s="43">
        <f>Энергетика!D9+Энергетика!D12+Промышленность!D9+Промышленность!D12+'Сельхоз и ОС'!D9+'Сельхоз и ОС'!D12</f>
        <v>612.88888888888891</v>
      </c>
      <c r="E27" s="43"/>
      <c r="F27" s="43"/>
      <c r="G27" s="43"/>
      <c r="H27" s="43"/>
      <c r="I27" s="43"/>
      <c r="J27" s="43"/>
      <c r="K27" s="43"/>
      <c r="L27" s="43"/>
      <c r="M27" s="44">
        <v>5110</v>
      </c>
    </row>
    <row r="28" spans="1:13" ht="16.05" customHeight="1"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</row>
    <row r="29" spans="1:13" ht="16.05" customHeight="1">
      <c r="A29" s="194" t="s">
        <v>225</v>
      </c>
      <c r="B29" s="13" t="s">
        <v>288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</row>
    <row r="30" spans="1:13" ht="16.05" customHeight="1">
      <c r="A30" s="8" t="s">
        <v>255</v>
      </c>
      <c r="B30" s="9" t="s">
        <v>269</v>
      </c>
      <c r="C30" s="195">
        <v>100</v>
      </c>
      <c r="D30" s="195"/>
      <c r="E30" s="195"/>
      <c r="F30" s="195"/>
      <c r="G30" s="195"/>
      <c r="H30" s="195"/>
      <c r="I30" s="195"/>
      <c r="J30" s="195"/>
      <c r="K30" s="195"/>
      <c r="L30" s="195"/>
      <c r="M30" s="15"/>
    </row>
    <row r="31" spans="1:13" ht="16.05" customHeight="1">
      <c r="A31" s="8" t="s">
        <v>256</v>
      </c>
      <c r="B31" s="9" t="s">
        <v>270</v>
      </c>
      <c r="C31" s="195">
        <v>400</v>
      </c>
      <c r="D31" s="195"/>
      <c r="E31" s="195"/>
      <c r="F31" s="195"/>
      <c r="G31" s="195"/>
      <c r="H31" s="195"/>
      <c r="I31" s="195"/>
      <c r="J31" s="195"/>
      <c r="K31" s="195"/>
      <c r="L31" s="195"/>
      <c r="M31" s="15"/>
    </row>
    <row r="32" spans="1:13" ht="16.05" customHeight="1"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5"/>
    </row>
    <row r="33" spans="1:12" ht="16.05" customHeight="1">
      <c r="D33" s="200">
        <f>D17*D21</f>
        <v>6.8000000000000007</v>
      </c>
    </row>
    <row r="34" spans="1:12" ht="16.05" customHeight="1">
      <c r="E34" s="201">
        <f>Население!D16/Население!C16*0.25*Население!D9*1.155*Промышленность!D20*Промышленность!D18*5</f>
        <v>5551.5132749999993</v>
      </c>
    </row>
    <row r="35" spans="1:12" ht="16.05" customHeight="1"/>
    <row r="36" spans="1:12" ht="16.05" customHeight="1"/>
    <row r="37" spans="1:12" ht="16.05" customHeight="1">
      <c r="A37" s="28" t="s">
        <v>35</v>
      </c>
      <c r="C37" s="26" t="s">
        <v>44</v>
      </c>
      <c r="D37" s="26" t="s">
        <v>46</v>
      </c>
      <c r="G37" s="26" t="s">
        <v>70</v>
      </c>
    </row>
    <row r="38" spans="1:12" ht="16.05" customHeight="1">
      <c r="C38" s="26" t="s">
        <v>47</v>
      </c>
      <c r="D38" s="26" t="s">
        <v>48</v>
      </c>
      <c r="G38" s="26" t="s">
        <v>67</v>
      </c>
    </row>
    <row r="39" spans="1:12" ht="19.95" customHeight="1">
      <c r="A39" s="4" t="s">
        <v>34</v>
      </c>
    </row>
    <row r="40" spans="1:12" ht="16.05" customHeight="1"/>
    <row r="41" spans="1:12" ht="16.05" customHeight="1">
      <c r="A41" s="10" t="s">
        <v>2</v>
      </c>
      <c r="B41" s="10" t="s">
        <v>3</v>
      </c>
      <c r="C41" s="128" t="s">
        <v>39</v>
      </c>
      <c r="D41" s="128"/>
      <c r="E41" s="128"/>
      <c r="F41" s="128"/>
      <c r="G41" s="128"/>
      <c r="H41" s="128" t="s">
        <v>40</v>
      </c>
      <c r="I41" s="128"/>
      <c r="J41" s="128"/>
      <c r="K41" s="128"/>
      <c r="L41" s="128"/>
    </row>
    <row r="42" spans="1:12" ht="70.05" customHeight="1">
      <c r="A42" s="48" t="s">
        <v>238</v>
      </c>
      <c r="B42" s="38" t="s">
        <v>257</v>
      </c>
      <c r="C42" s="149" t="s">
        <v>290</v>
      </c>
      <c r="D42" s="143"/>
      <c r="E42" s="143"/>
      <c r="F42" s="143"/>
      <c r="G42" s="143"/>
      <c r="H42" s="144" t="s">
        <v>296</v>
      </c>
      <c r="I42" s="145"/>
      <c r="J42" s="145"/>
      <c r="K42" s="145"/>
      <c r="L42" s="146"/>
    </row>
    <row r="43" spans="1:12" ht="49.95" customHeight="1">
      <c r="A43" s="48" t="s">
        <v>239</v>
      </c>
      <c r="B43" s="38" t="s">
        <v>258</v>
      </c>
      <c r="C43" s="149" t="s">
        <v>291</v>
      </c>
      <c r="D43" s="143"/>
      <c r="E43" s="143"/>
      <c r="F43" s="143"/>
      <c r="G43" s="143"/>
      <c r="H43" s="144" t="s">
        <v>292</v>
      </c>
      <c r="I43" s="145"/>
      <c r="J43" s="145"/>
      <c r="K43" s="145"/>
      <c r="L43" s="146"/>
    </row>
    <row r="44" spans="1:12" ht="90" customHeight="1">
      <c r="A44" s="48" t="s">
        <v>240</v>
      </c>
      <c r="B44" s="38" t="s">
        <v>259</v>
      </c>
      <c r="C44" s="149" t="s">
        <v>293</v>
      </c>
      <c r="D44" s="143"/>
      <c r="E44" s="143"/>
      <c r="F44" s="143"/>
      <c r="G44" s="143"/>
      <c r="H44" s="143" t="s">
        <v>294</v>
      </c>
      <c r="I44" s="143"/>
      <c r="J44" s="143"/>
      <c r="K44" s="143"/>
      <c r="L44" s="143"/>
    </row>
    <row r="45" spans="1:12" ht="70.05" customHeight="1">
      <c r="A45" s="48" t="s">
        <v>241</v>
      </c>
      <c r="B45" s="38" t="s">
        <v>260</v>
      </c>
      <c r="C45" s="153" t="s">
        <v>545</v>
      </c>
      <c r="D45" s="154"/>
      <c r="E45" s="154"/>
      <c r="F45" s="154"/>
      <c r="G45" s="154"/>
      <c r="H45" s="144" t="s">
        <v>295</v>
      </c>
      <c r="I45" s="145"/>
      <c r="J45" s="145"/>
      <c r="K45" s="145"/>
      <c r="L45" s="146"/>
    </row>
    <row r="46" spans="1:12" s="32" customFormat="1" ht="49.95" customHeight="1">
      <c r="A46" s="48" t="s">
        <v>242</v>
      </c>
      <c r="B46" s="38" t="s">
        <v>261</v>
      </c>
      <c r="C46" s="153" t="s">
        <v>546</v>
      </c>
      <c r="D46" s="154"/>
      <c r="E46" s="154"/>
      <c r="F46" s="154"/>
      <c r="G46" s="154"/>
      <c r="H46" s="144" t="s">
        <v>300</v>
      </c>
      <c r="I46" s="145"/>
      <c r="J46" s="145"/>
      <c r="K46" s="145"/>
      <c r="L46" s="146"/>
    </row>
    <row r="47" spans="1:12" s="32" customFormat="1" ht="90" customHeight="1">
      <c r="A47" s="48" t="s">
        <v>243</v>
      </c>
      <c r="B47" s="38" t="s">
        <v>262</v>
      </c>
      <c r="C47" s="149" t="s">
        <v>299</v>
      </c>
      <c r="D47" s="143"/>
      <c r="E47" s="143"/>
      <c r="F47" s="143"/>
      <c r="G47" s="143"/>
      <c r="H47" s="143" t="s">
        <v>301</v>
      </c>
      <c r="I47" s="143"/>
      <c r="J47" s="143"/>
      <c r="K47" s="143"/>
      <c r="L47" s="143"/>
    </row>
    <row r="48" spans="1:12" s="32" customFormat="1" ht="70.05" customHeight="1">
      <c r="A48" s="48" t="s">
        <v>244</v>
      </c>
      <c r="B48" s="38" t="s">
        <v>263</v>
      </c>
      <c r="C48" s="149" t="s">
        <v>302</v>
      </c>
      <c r="D48" s="143"/>
      <c r="E48" s="143"/>
      <c r="F48" s="143"/>
      <c r="G48" s="143"/>
      <c r="H48" s="144" t="s">
        <v>304</v>
      </c>
      <c r="I48" s="145"/>
      <c r="J48" s="145"/>
      <c r="K48" s="145"/>
      <c r="L48" s="146"/>
    </row>
    <row r="49" spans="1:13" s="39" customFormat="1" ht="130.05000000000001" customHeight="1">
      <c r="A49" s="48" t="s">
        <v>245</v>
      </c>
      <c r="B49" s="38" t="s">
        <v>307</v>
      </c>
      <c r="C49" s="149" t="s">
        <v>315</v>
      </c>
      <c r="D49" s="143"/>
      <c r="E49" s="143"/>
      <c r="F49" s="143"/>
      <c r="G49" s="143"/>
      <c r="H49" s="144" t="s">
        <v>330</v>
      </c>
      <c r="I49" s="145"/>
      <c r="J49" s="145"/>
      <c r="K49" s="145"/>
      <c r="L49" s="146"/>
    </row>
    <row r="50" spans="1:13" s="32" customFormat="1" ht="45" customHeight="1">
      <c r="A50" s="48" t="s">
        <v>246</v>
      </c>
      <c r="B50" s="38" t="s">
        <v>264</v>
      </c>
      <c r="C50" s="150" t="s">
        <v>316</v>
      </c>
      <c r="D50" s="151"/>
      <c r="E50" s="151"/>
      <c r="F50" s="151"/>
      <c r="G50" s="152"/>
      <c r="H50" s="144" t="s">
        <v>314</v>
      </c>
      <c r="I50" s="145"/>
      <c r="J50" s="145"/>
      <c r="K50" s="145"/>
      <c r="L50" s="146"/>
    </row>
    <row r="51" spans="1:13" s="32" customFormat="1" ht="77.400000000000006" customHeight="1">
      <c r="A51" s="48" t="s">
        <v>247</v>
      </c>
      <c r="B51" s="38" t="s">
        <v>306</v>
      </c>
      <c r="C51" s="150" t="s">
        <v>317</v>
      </c>
      <c r="D51" s="151"/>
      <c r="E51" s="151"/>
      <c r="F51" s="151"/>
      <c r="G51" s="152"/>
      <c r="H51" s="144" t="s">
        <v>463</v>
      </c>
      <c r="I51" s="145"/>
      <c r="J51" s="145"/>
      <c r="K51" s="145"/>
      <c r="L51" s="146"/>
    </row>
    <row r="52" spans="1:13" s="32" customFormat="1" ht="160.05000000000001" customHeight="1">
      <c r="A52" s="48" t="s">
        <v>248</v>
      </c>
      <c r="B52" s="38" t="s">
        <v>348</v>
      </c>
      <c r="C52" s="149" t="s">
        <v>313</v>
      </c>
      <c r="D52" s="143"/>
      <c r="E52" s="143"/>
      <c r="F52" s="143"/>
      <c r="G52" s="143"/>
      <c r="H52" s="144" t="s">
        <v>305</v>
      </c>
      <c r="I52" s="145"/>
      <c r="J52" s="145"/>
      <c r="K52" s="145"/>
      <c r="L52" s="146"/>
    </row>
    <row r="53" spans="1:13" s="32" customFormat="1" ht="240" customHeight="1">
      <c r="A53" s="48" t="s">
        <v>249</v>
      </c>
      <c r="B53" s="38" t="s">
        <v>319</v>
      </c>
      <c r="C53" s="150" t="s">
        <v>321</v>
      </c>
      <c r="D53" s="151"/>
      <c r="E53" s="151"/>
      <c r="F53" s="151"/>
      <c r="G53" s="152"/>
      <c r="H53" s="144" t="s">
        <v>331</v>
      </c>
      <c r="I53" s="145"/>
      <c r="J53" s="145"/>
      <c r="K53" s="145"/>
      <c r="L53" s="146"/>
    </row>
    <row r="54" spans="1:13" s="32" customFormat="1" ht="75" customHeight="1">
      <c r="A54" s="48" t="s">
        <v>250</v>
      </c>
      <c r="B54" s="38" t="s">
        <v>266</v>
      </c>
      <c r="C54" s="150" t="s">
        <v>325</v>
      </c>
      <c r="D54" s="151"/>
      <c r="E54" s="151"/>
      <c r="F54" s="151"/>
      <c r="G54" s="152"/>
      <c r="H54" s="144" t="s">
        <v>326</v>
      </c>
      <c r="I54" s="145"/>
      <c r="J54" s="145"/>
      <c r="K54" s="145"/>
      <c r="L54" s="146"/>
    </row>
    <row r="55" spans="1:13" ht="90" customHeight="1">
      <c r="A55" s="48" t="s">
        <v>251</v>
      </c>
      <c r="B55" s="38" t="s">
        <v>267</v>
      </c>
      <c r="C55" s="150" t="s">
        <v>475</v>
      </c>
      <c r="D55" s="151"/>
      <c r="E55" s="151"/>
      <c r="F55" s="151"/>
      <c r="G55" s="152"/>
      <c r="H55" s="162" t="s">
        <v>476</v>
      </c>
      <c r="I55" s="163"/>
      <c r="J55" s="163"/>
      <c r="K55" s="163"/>
      <c r="L55" s="164"/>
      <c r="M55" s="59"/>
    </row>
    <row r="56" spans="1:13" ht="130.05000000000001" customHeight="1">
      <c r="A56" s="48" t="s">
        <v>252</v>
      </c>
      <c r="B56" s="38" t="s">
        <v>318</v>
      </c>
      <c r="C56" s="150" t="s">
        <v>320</v>
      </c>
      <c r="D56" s="151"/>
      <c r="E56" s="151"/>
      <c r="F56" s="151"/>
      <c r="G56" s="152"/>
      <c r="H56" s="144" t="s">
        <v>464</v>
      </c>
      <c r="I56" s="145"/>
      <c r="J56" s="145"/>
      <c r="K56" s="145"/>
      <c r="L56" s="146"/>
      <c r="M56" s="52"/>
    </row>
    <row r="57" spans="1:13" ht="70.05" customHeight="1">
      <c r="A57" s="48" t="s">
        <v>253</v>
      </c>
      <c r="B57" s="38" t="s">
        <v>268</v>
      </c>
      <c r="C57" s="153" t="s">
        <v>327</v>
      </c>
      <c r="D57" s="154"/>
      <c r="E57" s="154"/>
      <c r="F57" s="154"/>
      <c r="G57" s="154"/>
      <c r="H57" s="143" t="s">
        <v>465</v>
      </c>
      <c r="I57" s="143"/>
      <c r="J57" s="143"/>
      <c r="K57" s="143"/>
      <c r="L57" s="143"/>
    </row>
    <row r="58" spans="1:13" ht="100.05" customHeight="1">
      <c r="A58" s="48" t="s">
        <v>254</v>
      </c>
      <c r="B58" s="38" t="s">
        <v>271</v>
      </c>
      <c r="C58" s="149" t="s">
        <v>547</v>
      </c>
      <c r="D58" s="143"/>
      <c r="E58" s="143"/>
      <c r="F58" s="143"/>
      <c r="G58" s="143"/>
      <c r="H58" s="143" t="s">
        <v>466</v>
      </c>
      <c r="I58" s="143"/>
      <c r="J58" s="143"/>
      <c r="K58" s="143"/>
      <c r="L58" s="143"/>
    </row>
    <row r="59" spans="1:13" ht="16.05" customHeight="1">
      <c r="C59" s="132"/>
      <c r="D59" s="132"/>
      <c r="E59" s="132"/>
      <c r="F59" s="132"/>
      <c r="G59" s="132"/>
      <c r="H59" s="132"/>
      <c r="I59" s="132"/>
      <c r="J59" s="132"/>
      <c r="K59" s="132"/>
      <c r="L59" s="132"/>
    </row>
    <row r="60" spans="1:13" ht="30" customHeight="1">
      <c r="A60" s="28" t="s">
        <v>62</v>
      </c>
      <c r="C60" s="161"/>
      <c r="D60" s="161"/>
      <c r="E60" s="161"/>
      <c r="F60" s="161"/>
      <c r="G60" s="161"/>
      <c r="H60" s="161"/>
      <c r="I60" s="161"/>
      <c r="J60" s="161"/>
      <c r="K60" s="161"/>
      <c r="L60" s="161"/>
    </row>
    <row r="61" spans="1:13" s="16" customFormat="1" ht="16.05" customHeight="1">
      <c r="C61" s="165" t="s">
        <v>338</v>
      </c>
      <c r="D61" s="165"/>
      <c r="E61" s="165"/>
      <c r="F61" s="165"/>
      <c r="G61" s="165"/>
      <c r="H61" s="165"/>
      <c r="I61" s="165"/>
      <c r="J61" s="165"/>
      <c r="K61" s="165"/>
      <c r="L61" s="165"/>
    </row>
    <row r="62" spans="1:13" s="16" customFormat="1" ht="30" customHeight="1">
      <c r="A62" s="28" t="s">
        <v>74</v>
      </c>
      <c r="C62" s="133"/>
      <c r="D62" s="133"/>
      <c r="E62" s="133"/>
      <c r="F62" s="133"/>
      <c r="G62" s="133"/>
      <c r="H62" s="133"/>
      <c r="I62" s="133"/>
      <c r="J62" s="133"/>
      <c r="K62" s="133"/>
      <c r="L62" s="133"/>
    </row>
    <row r="63" spans="1:13" ht="75" customHeight="1">
      <c r="B63" s="54" t="s">
        <v>329</v>
      </c>
      <c r="C63" s="143" t="s">
        <v>328</v>
      </c>
      <c r="D63" s="143"/>
      <c r="E63" s="143"/>
      <c r="F63" s="143"/>
      <c r="G63" s="143"/>
      <c r="H63" s="143"/>
      <c r="I63" s="143"/>
      <c r="J63" s="143"/>
      <c r="K63" s="143"/>
      <c r="L63" s="143"/>
    </row>
    <row r="64" spans="1:13" s="52" customFormat="1" ht="19.95" customHeight="1">
      <c r="B64" s="60" t="s">
        <v>339</v>
      </c>
      <c r="C64" s="143" t="s">
        <v>337</v>
      </c>
      <c r="D64" s="143"/>
      <c r="E64" s="143"/>
      <c r="F64" s="143"/>
      <c r="G64" s="143"/>
      <c r="H64" s="143"/>
      <c r="I64" s="143"/>
      <c r="J64" s="143"/>
      <c r="K64" s="143"/>
      <c r="L64" s="143"/>
    </row>
    <row r="65" spans="1:12" s="52" customFormat="1" ht="19.95" customHeight="1">
      <c r="B65" s="60" t="s">
        <v>340</v>
      </c>
      <c r="C65" s="143"/>
      <c r="D65" s="143"/>
      <c r="E65" s="143"/>
      <c r="F65" s="143"/>
      <c r="G65" s="143"/>
      <c r="H65" s="143"/>
      <c r="I65" s="143"/>
      <c r="J65" s="143"/>
      <c r="K65" s="143"/>
      <c r="L65" s="143"/>
    </row>
    <row r="66" spans="1:12">
      <c r="C66" s="132"/>
      <c r="D66" s="132"/>
      <c r="E66" s="132"/>
      <c r="F66" s="132"/>
      <c r="G66" s="132"/>
      <c r="H66" s="132"/>
      <c r="I66" s="132"/>
      <c r="J66" s="132"/>
      <c r="K66" s="132"/>
      <c r="L66" s="132"/>
    </row>
    <row r="67" spans="1:12" s="16" customFormat="1" ht="30" customHeight="1">
      <c r="A67" s="51" t="s">
        <v>81</v>
      </c>
      <c r="C67" s="133"/>
      <c r="D67" s="133"/>
      <c r="E67" s="133"/>
      <c r="F67" s="133"/>
      <c r="G67" s="133"/>
      <c r="H67" s="133"/>
      <c r="I67" s="133"/>
      <c r="J67" s="133"/>
      <c r="K67" s="133"/>
      <c r="L67" s="133"/>
    </row>
    <row r="68" spans="1:12" s="39" customFormat="1" ht="109.95" customHeight="1">
      <c r="A68" s="37"/>
      <c r="B68" s="50" t="s">
        <v>85</v>
      </c>
      <c r="C68" s="143" t="s">
        <v>84</v>
      </c>
      <c r="D68" s="143"/>
      <c r="E68" s="143"/>
      <c r="F68" s="143"/>
      <c r="G68" s="143"/>
      <c r="H68" s="143"/>
      <c r="I68" s="143"/>
      <c r="J68" s="143"/>
      <c r="K68" s="143"/>
      <c r="L68" s="143"/>
    </row>
    <row r="69" spans="1:12">
      <c r="A69" s="35"/>
      <c r="C69" s="141"/>
      <c r="D69" s="141"/>
      <c r="E69" s="141"/>
      <c r="F69" s="141"/>
      <c r="G69" s="141"/>
      <c r="H69" s="141"/>
      <c r="I69" s="141"/>
      <c r="J69" s="141"/>
      <c r="K69" s="141"/>
      <c r="L69" s="141"/>
    </row>
    <row r="70" spans="1:12" ht="15.6">
      <c r="A70" s="28" t="s">
        <v>88</v>
      </c>
      <c r="B70" s="16"/>
      <c r="C70" s="133"/>
      <c r="D70" s="133"/>
      <c r="E70" s="133"/>
      <c r="F70" s="133"/>
      <c r="G70" s="133"/>
      <c r="H70" s="133"/>
      <c r="I70" s="133"/>
      <c r="J70" s="133"/>
      <c r="K70" s="133"/>
      <c r="L70" s="133"/>
    </row>
    <row r="71" spans="1:12" s="39" customFormat="1" ht="19.95" customHeight="1">
      <c r="B71" s="63" t="s">
        <v>322</v>
      </c>
      <c r="C71" s="166" t="s">
        <v>323</v>
      </c>
      <c r="D71" s="166"/>
      <c r="E71" s="166"/>
      <c r="F71" s="166"/>
      <c r="G71" s="166"/>
      <c r="H71" s="166"/>
      <c r="I71" s="166"/>
      <c r="J71" s="166"/>
      <c r="K71" s="166"/>
      <c r="L71" s="166"/>
    </row>
    <row r="72" spans="1:12" s="39" customFormat="1" ht="70.05" customHeight="1">
      <c r="B72" s="54" t="s">
        <v>89</v>
      </c>
      <c r="C72" s="143" t="s">
        <v>90</v>
      </c>
      <c r="D72" s="143"/>
      <c r="E72" s="143"/>
      <c r="F72" s="143"/>
      <c r="G72" s="143"/>
      <c r="H72" s="143"/>
      <c r="I72" s="143"/>
      <c r="J72" s="143"/>
      <c r="K72" s="143"/>
      <c r="L72" s="143"/>
    </row>
    <row r="73" spans="1:12" ht="49.95" customHeight="1">
      <c r="B73" s="62" t="s">
        <v>467</v>
      </c>
      <c r="C73" s="157" t="s">
        <v>468</v>
      </c>
      <c r="D73" s="158"/>
      <c r="E73" s="158"/>
      <c r="F73" s="158"/>
      <c r="G73" s="158"/>
      <c r="H73" s="158"/>
      <c r="I73" s="158"/>
      <c r="J73" s="158"/>
      <c r="K73" s="158"/>
      <c r="L73" s="159"/>
    </row>
  </sheetData>
  <mergeCells count="62">
    <mergeCell ref="C61:L61"/>
    <mergeCell ref="C64:L65"/>
    <mergeCell ref="C73:L73"/>
    <mergeCell ref="C70:G70"/>
    <mergeCell ref="H70:L70"/>
    <mergeCell ref="C72:L72"/>
    <mergeCell ref="C67:G67"/>
    <mergeCell ref="H67:L67"/>
    <mergeCell ref="C68:L68"/>
    <mergeCell ref="C69:G69"/>
    <mergeCell ref="H69:L69"/>
    <mergeCell ref="C71:L71"/>
    <mergeCell ref="C62:G62"/>
    <mergeCell ref="H62:L62"/>
    <mergeCell ref="C66:G66"/>
    <mergeCell ref="H66:L66"/>
    <mergeCell ref="C63:L63"/>
    <mergeCell ref="C4:M4"/>
    <mergeCell ref="A8:B8"/>
    <mergeCell ref="A16:B16"/>
    <mergeCell ref="C41:G41"/>
    <mergeCell ref="H41:L41"/>
    <mergeCell ref="A4:B4"/>
    <mergeCell ref="C42:G42"/>
    <mergeCell ref="H42:L42"/>
    <mergeCell ref="C46:G46"/>
    <mergeCell ref="C47:G47"/>
    <mergeCell ref="C48:G48"/>
    <mergeCell ref="C43:G43"/>
    <mergeCell ref="H43:L43"/>
    <mergeCell ref="C44:G44"/>
    <mergeCell ref="H44:L44"/>
    <mergeCell ref="C54:G54"/>
    <mergeCell ref="C45:G45"/>
    <mergeCell ref="H45:L45"/>
    <mergeCell ref="H46:L46"/>
    <mergeCell ref="H47:L47"/>
    <mergeCell ref="H48:L48"/>
    <mergeCell ref="C60:G60"/>
    <mergeCell ref="H60:L60"/>
    <mergeCell ref="C55:G55"/>
    <mergeCell ref="H55:L55"/>
    <mergeCell ref="C56:G56"/>
    <mergeCell ref="H56:L56"/>
    <mergeCell ref="C57:G57"/>
    <mergeCell ref="H57:L57"/>
    <mergeCell ref="D6:L6"/>
    <mergeCell ref="C58:G58"/>
    <mergeCell ref="H58:L58"/>
    <mergeCell ref="C59:G59"/>
    <mergeCell ref="H59:L59"/>
    <mergeCell ref="H51:L51"/>
    <mergeCell ref="H52:L52"/>
    <mergeCell ref="H53:L53"/>
    <mergeCell ref="H54:L54"/>
    <mergeCell ref="C49:G49"/>
    <mergeCell ref="C50:G50"/>
    <mergeCell ref="C51:G51"/>
    <mergeCell ref="C52:G52"/>
    <mergeCell ref="C53:G53"/>
    <mergeCell ref="H49:L49"/>
    <mergeCell ref="H50:L50"/>
  </mergeCells>
  <pageMargins left="0.47244094488188981" right="0.47244094488188981" top="0.98425196850393704" bottom="0.98425196850393704" header="0.31496062992125984" footer="0.31496062992125984"/>
  <pageSetup paperSize="9" scale="68" orientation="landscape" horizontalDpi="180" verticalDpi="180" r:id="rId1"/>
  <rowBreaks count="1" manualBreakCount="1">
    <brk id="33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>
  <dimension ref="A1:N76"/>
  <sheetViews>
    <sheetView workbookViewId="0">
      <selection activeCell="C19" sqref="C19:D19"/>
    </sheetView>
  </sheetViews>
  <sheetFormatPr defaultRowHeight="15"/>
  <cols>
    <col min="1" max="1" width="16.77734375" style="26" customWidth="1"/>
    <col min="2" max="2" width="61.77734375" style="26" customWidth="1"/>
    <col min="3" max="12" width="10.77734375" style="26" customWidth="1"/>
    <col min="13" max="13" width="11.21875" style="26" customWidth="1"/>
    <col min="14" max="16384" width="8.88671875" style="26"/>
  </cols>
  <sheetData>
    <row r="1" spans="1:14" ht="28.05" customHeight="1">
      <c r="C1" s="33" t="s">
        <v>72</v>
      </c>
      <c r="D1" s="34"/>
      <c r="E1" s="34"/>
      <c r="F1" s="34"/>
      <c r="G1" s="34"/>
      <c r="I1" s="33" t="s">
        <v>73</v>
      </c>
      <c r="J1" s="34"/>
      <c r="K1" s="34"/>
      <c r="L1" s="34"/>
      <c r="M1" s="34"/>
    </row>
    <row r="2" spans="1:14" ht="28.05" customHeight="1">
      <c r="C2" s="33"/>
      <c r="D2" s="16"/>
      <c r="E2" s="16"/>
      <c r="F2" s="16"/>
      <c r="G2" s="16"/>
      <c r="I2" s="33"/>
      <c r="J2" s="16"/>
      <c r="K2" s="16"/>
      <c r="L2" s="16"/>
      <c r="M2" s="16"/>
    </row>
    <row r="4" spans="1:14" s="4" customFormat="1" ht="20.399999999999999" customHeight="1">
      <c r="A4" s="167" t="s">
        <v>272</v>
      </c>
      <c r="B4" s="167"/>
      <c r="C4" s="126" t="s">
        <v>30</v>
      </c>
      <c r="D4" s="126"/>
      <c r="E4" s="126"/>
      <c r="F4" s="126"/>
      <c r="G4" s="126"/>
      <c r="H4" s="126"/>
      <c r="I4" s="126"/>
      <c r="J4" s="126"/>
      <c r="K4" s="126"/>
      <c r="L4" s="126"/>
      <c r="M4" s="126"/>
    </row>
    <row r="5" spans="1:14" ht="19.95" customHeight="1">
      <c r="A5" s="167"/>
      <c r="B5" s="167"/>
    </row>
    <row r="6" spans="1:14" s="28" customFormat="1" ht="30" customHeight="1">
      <c r="A6" s="10" t="s">
        <v>2</v>
      </c>
      <c r="B6" s="10" t="s">
        <v>3</v>
      </c>
      <c r="C6" s="6" t="s">
        <v>10</v>
      </c>
      <c r="D6" s="121" t="s">
        <v>4</v>
      </c>
      <c r="E6" s="121"/>
      <c r="F6" s="121"/>
      <c r="G6" s="121"/>
      <c r="H6" s="121"/>
      <c r="I6" s="121"/>
      <c r="J6" s="121"/>
      <c r="K6" s="121"/>
      <c r="L6" s="121"/>
      <c r="M6" s="17" t="s">
        <v>16</v>
      </c>
      <c r="N6" s="5"/>
    </row>
    <row r="7" spans="1:14" ht="15.6">
      <c r="C7" s="20" t="s">
        <v>5</v>
      </c>
      <c r="D7" s="21" t="s">
        <v>6</v>
      </c>
      <c r="E7" s="20" t="s">
        <v>7</v>
      </c>
      <c r="F7" s="21" t="s">
        <v>8</v>
      </c>
      <c r="G7" s="20" t="s">
        <v>9</v>
      </c>
      <c r="H7" s="21" t="s">
        <v>11</v>
      </c>
      <c r="I7" s="20" t="s">
        <v>12</v>
      </c>
      <c r="J7" s="21" t="s">
        <v>13</v>
      </c>
      <c r="K7" s="20" t="s">
        <v>14</v>
      </c>
      <c r="L7" s="21" t="s">
        <v>15</v>
      </c>
      <c r="M7" s="7"/>
    </row>
    <row r="8" spans="1:14" ht="16.05" customHeight="1">
      <c r="A8" s="127" t="s">
        <v>0</v>
      </c>
      <c r="B8" s="127"/>
    </row>
    <row r="9" spans="1:14" ht="16.05" customHeight="1">
      <c r="A9" s="8" t="s">
        <v>273</v>
      </c>
      <c r="B9" s="9" t="s">
        <v>343</v>
      </c>
      <c r="C9" s="11">
        <v>160</v>
      </c>
      <c r="D9" s="198">
        <f>D11/5</f>
        <v>168</v>
      </c>
      <c r="E9" s="11"/>
      <c r="F9" s="11"/>
      <c r="G9" s="11"/>
      <c r="H9" s="11"/>
      <c r="I9" s="11"/>
      <c r="J9" s="11"/>
      <c r="K9" s="11"/>
      <c r="L9" s="11"/>
      <c r="M9" s="18">
        <v>500</v>
      </c>
    </row>
    <row r="10" spans="1:14" s="32" customFormat="1" ht="16.05" customHeight="1">
      <c r="A10" s="8" t="s">
        <v>274</v>
      </c>
      <c r="B10" s="9" t="s">
        <v>344</v>
      </c>
      <c r="C10" s="43">
        <v>640</v>
      </c>
      <c r="D10" s="43">
        <f>D11*4/5</f>
        <v>672</v>
      </c>
      <c r="E10" s="43"/>
      <c r="F10" s="43"/>
      <c r="G10" s="43"/>
      <c r="H10" s="43"/>
      <c r="I10" s="43"/>
      <c r="J10" s="43"/>
      <c r="K10" s="43"/>
      <c r="L10" s="43"/>
      <c r="M10" s="44">
        <v>2000</v>
      </c>
    </row>
    <row r="11" spans="1:14" s="32" customFormat="1" ht="16.05" customHeight="1">
      <c r="A11" s="8" t="s">
        <v>275</v>
      </c>
      <c r="B11" s="9" t="s">
        <v>342</v>
      </c>
      <c r="C11" s="43">
        <f>C9+C10</f>
        <v>800</v>
      </c>
      <c r="D11" s="43">
        <f>C11-C9+C26</f>
        <v>840</v>
      </c>
      <c r="E11" s="43"/>
      <c r="F11" s="43"/>
      <c r="G11" s="43"/>
      <c r="H11" s="43"/>
      <c r="I11" s="43"/>
      <c r="J11" s="43"/>
      <c r="K11" s="43"/>
      <c r="L11" s="43"/>
      <c r="M11" s="44">
        <v>2500</v>
      </c>
    </row>
    <row r="12" spans="1:14" s="32" customFormat="1" ht="16.05" customHeight="1">
      <c r="A12" s="8" t="s">
        <v>276</v>
      </c>
      <c r="B12" s="9" t="s">
        <v>332</v>
      </c>
      <c r="C12" s="43">
        <v>0</v>
      </c>
      <c r="D12" s="43">
        <f>C14/6</f>
        <v>0</v>
      </c>
      <c r="E12" s="43"/>
      <c r="F12" s="43"/>
      <c r="G12" s="43"/>
      <c r="H12" s="43"/>
      <c r="I12" s="43"/>
      <c r="J12" s="43"/>
      <c r="K12" s="43"/>
      <c r="L12" s="43"/>
      <c r="M12" s="44">
        <v>6700</v>
      </c>
    </row>
    <row r="13" spans="1:14" s="32" customFormat="1" ht="16.05" customHeight="1">
      <c r="A13" s="8" t="s">
        <v>277</v>
      </c>
      <c r="B13" s="9" t="s">
        <v>333</v>
      </c>
      <c r="C13" s="43">
        <v>0</v>
      </c>
      <c r="D13" s="43">
        <f>C14*5/6</f>
        <v>0</v>
      </c>
      <c r="E13" s="43"/>
      <c r="F13" s="43"/>
      <c r="G13" s="43"/>
      <c r="H13" s="43"/>
      <c r="I13" s="43"/>
      <c r="J13" s="43"/>
      <c r="K13" s="43"/>
      <c r="L13" s="43"/>
      <c r="M13" s="44">
        <v>3300</v>
      </c>
    </row>
    <row r="14" spans="1:14" ht="16.05" customHeight="1">
      <c r="A14" s="8" t="s">
        <v>278</v>
      </c>
      <c r="B14" s="9" t="s">
        <v>334</v>
      </c>
      <c r="C14" s="43">
        <f>C12+C13</f>
        <v>0</v>
      </c>
      <c r="D14" s="43">
        <f>C14-C12+C27</f>
        <v>0</v>
      </c>
      <c r="E14" s="43"/>
      <c r="F14" s="43"/>
      <c r="G14" s="43"/>
      <c r="H14" s="43"/>
      <c r="I14" s="43"/>
      <c r="J14" s="43"/>
      <c r="K14" s="43"/>
      <c r="L14" s="43"/>
      <c r="M14" s="44">
        <v>10000</v>
      </c>
    </row>
    <row r="15" spans="1:14" ht="16.05" customHeight="1"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</row>
    <row r="16" spans="1:14" ht="16.05" customHeight="1">
      <c r="A16" s="127" t="s">
        <v>1</v>
      </c>
      <c r="B16" s="127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</row>
    <row r="17" spans="1:13" ht="16.05" customHeight="1">
      <c r="A17" s="8" t="s">
        <v>129</v>
      </c>
      <c r="B17" s="9" t="s">
        <v>341</v>
      </c>
      <c r="C17" s="11">
        <v>0.69</v>
      </c>
      <c r="D17" s="11">
        <f>C17+3.6/100-3.8/100</f>
        <v>0.68799999999999994</v>
      </c>
      <c r="E17" s="11"/>
      <c r="F17" s="11"/>
      <c r="G17" s="11"/>
      <c r="H17" s="11"/>
      <c r="I17" s="11"/>
      <c r="J17" s="11"/>
      <c r="K17" s="11"/>
      <c r="L17" s="11"/>
      <c r="M17" s="18">
        <v>0.8</v>
      </c>
    </row>
    <row r="18" spans="1:13" s="32" customFormat="1" ht="16.05" customHeight="1">
      <c r="A18" s="8" t="s">
        <v>279</v>
      </c>
      <c r="B18" s="9" t="s">
        <v>345</v>
      </c>
      <c r="C18" s="11">
        <v>0.8</v>
      </c>
      <c r="D18" s="11">
        <f>D11/1000</f>
        <v>0.84</v>
      </c>
      <c r="E18" s="11"/>
      <c r="F18" s="11"/>
      <c r="G18" s="11"/>
      <c r="H18" s="11"/>
      <c r="I18" s="11"/>
      <c r="J18" s="11"/>
      <c r="K18" s="11"/>
      <c r="L18" s="11"/>
      <c r="M18" s="18">
        <v>2.8</v>
      </c>
    </row>
    <row r="19" spans="1:13" s="32" customFormat="1" ht="16.05" customHeight="1">
      <c r="A19" s="8" t="s">
        <v>280</v>
      </c>
      <c r="B19" s="9" t="s">
        <v>346</v>
      </c>
      <c r="C19" s="43">
        <v>3450</v>
      </c>
      <c r="D19" s="43">
        <v>2890</v>
      </c>
      <c r="E19" s="43"/>
      <c r="F19" s="43"/>
      <c r="G19" s="43"/>
      <c r="H19" s="43"/>
      <c r="I19" s="43"/>
      <c r="J19" s="43"/>
      <c r="K19" s="43"/>
      <c r="L19" s="43"/>
      <c r="M19" s="44">
        <v>12500</v>
      </c>
    </row>
    <row r="20" spans="1:13" s="32" customFormat="1" ht="16.05" customHeight="1">
      <c r="A20" s="8" t="s">
        <v>281</v>
      </c>
      <c r="B20" s="9" t="s">
        <v>347</v>
      </c>
      <c r="C20" s="11">
        <v>1</v>
      </c>
      <c r="D20" s="11">
        <f>IF(Энергетика!C39/Энергетика!C22&gt;1.1,1.1,Энергетика!C39/Энергетика!C22)</f>
        <v>0.8</v>
      </c>
      <c r="E20" s="11"/>
      <c r="F20" s="11"/>
      <c r="G20" s="11"/>
      <c r="H20" s="11"/>
      <c r="I20" s="11"/>
      <c r="J20" s="11"/>
      <c r="K20" s="11"/>
      <c r="L20" s="11"/>
      <c r="M20" s="18">
        <v>1</v>
      </c>
    </row>
    <row r="21" spans="1:13" ht="16.05" customHeight="1">
      <c r="A21" s="8" t="s">
        <v>282</v>
      </c>
      <c r="B21" s="9" t="s">
        <v>349</v>
      </c>
      <c r="C21" s="43">
        <v>3300</v>
      </c>
      <c r="D21" s="43">
        <v>2890</v>
      </c>
      <c r="E21" s="43"/>
      <c r="F21" s="43"/>
      <c r="G21" s="43"/>
      <c r="H21" s="43"/>
      <c r="I21" s="43"/>
      <c r="J21" s="43"/>
      <c r="K21" s="43"/>
      <c r="L21" s="43"/>
      <c r="M21" s="44">
        <v>12500</v>
      </c>
    </row>
    <row r="22" spans="1:13" ht="16.05" customHeight="1">
      <c r="A22" s="8" t="s">
        <v>283</v>
      </c>
      <c r="B22" s="9" t="s">
        <v>350</v>
      </c>
      <c r="C22" s="43">
        <v>1550</v>
      </c>
      <c r="D22" s="43">
        <f>'Торговля и финансы'!C24</f>
        <v>1300</v>
      </c>
      <c r="E22" s="43"/>
      <c r="F22" s="43"/>
      <c r="G22" s="43"/>
      <c r="H22" s="43"/>
      <c r="I22" s="43"/>
      <c r="J22" s="43"/>
      <c r="K22" s="43"/>
      <c r="L22" s="43"/>
      <c r="M22" s="44">
        <v>0</v>
      </c>
    </row>
    <row r="23" spans="1:13" ht="16.05" customHeight="1">
      <c r="A23" s="8" t="s">
        <v>284</v>
      </c>
      <c r="B23" s="9" t="s">
        <v>351</v>
      </c>
      <c r="C23" s="43">
        <v>0</v>
      </c>
      <c r="D23" s="43">
        <f>'Торговля и финансы'!C36/'Торговля и финансы'!D18</f>
        <v>0</v>
      </c>
      <c r="E23" s="43"/>
      <c r="F23" s="43"/>
      <c r="G23" s="43"/>
      <c r="H23" s="43"/>
      <c r="I23" s="43"/>
      <c r="J23" s="43"/>
      <c r="K23" s="43"/>
      <c r="L23" s="43"/>
      <c r="M23" s="44">
        <v>0</v>
      </c>
    </row>
    <row r="24" spans="1:13" ht="16.05" customHeight="1"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</row>
    <row r="25" spans="1:13" ht="16.05" customHeight="1">
      <c r="A25" s="194" t="s">
        <v>225</v>
      </c>
      <c r="B25" s="13" t="s">
        <v>287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</row>
    <row r="26" spans="1:13" ht="16.05" customHeight="1">
      <c r="A26" s="8" t="s">
        <v>285</v>
      </c>
      <c r="B26" s="9" t="s">
        <v>352</v>
      </c>
      <c r="C26" s="195">
        <v>200</v>
      </c>
      <c r="D26" s="195"/>
      <c r="E26" s="195"/>
      <c r="F26" s="195"/>
      <c r="G26" s="195"/>
      <c r="H26" s="195"/>
      <c r="I26" s="195"/>
      <c r="J26" s="195"/>
      <c r="K26" s="195"/>
      <c r="L26" s="195"/>
      <c r="M26" s="15"/>
    </row>
    <row r="27" spans="1:13" ht="16.05" customHeight="1">
      <c r="A27" s="8" t="s">
        <v>286</v>
      </c>
      <c r="B27" s="9" t="s">
        <v>353</v>
      </c>
      <c r="C27" s="195">
        <v>0</v>
      </c>
      <c r="D27" s="195"/>
      <c r="E27" s="195"/>
      <c r="F27" s="195"/>
      <c r="G27" s="195"/>
      <c r="H27" s="195"/>
      <c r="I27" s="195"/>
      <c r="J27" s="195"/>
      <c r="K27" s="195"/>
      <c r="L27" s="195"/>
      <c r="M27" s="15"/>
    </row>
    <row r="28" spans="1:13" ht="16.05" customHeight="1"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5"/>
    </row>
    <row r="29" spans="1:13" ht="16.05" customHeight="1"/>
    <row r="30" spans="1:13" ht="16.05" customHeight="1"/>
    <row r="31" spans="1:13" ht="16.05" customHeight="1"/>
    <row r="32" spans="1:13" ht="16.05" customHeight="1"/>
    <row r="33" spans="1:12" ht="16.05" customHeight="1">
      <c r="A33" s="28" t="s">
        <v>35</v>
      </c>
      <c r="C33" s="26" t="s">
        <v>44</v>
      </c>
      <c r="D33" s="26" t="s">
        <v>46</v>
      </c>
      <c r="G33" s="26" t="s">
        <v>70</v>
      </c>
    </row>
    <row r="34" spans="1:12" ht="16.05" customHeight="1">
      <c r="C34" s="26" t="s">
        <v>47</v>
      </c>
      <c r="D34" s="26" t="s">
        <v>48</v>
      </c>
      <c r="G34" s="26" t="s">
        <v>67</v>
      </c>
    </row>
    <row r="35" spans="1:12" ht="19.95" customHeight="1">
      <c r="A35" s="4" t="s">
        <v>34</v>
      </c>
    </row>
    <row r="36" spans="1:12" ht="16.05" customHeight="1"/>
    <row r="37" spans="1:12" ht="16.05" customHeight="1">
      <c r="A37" s="10" t="s">
        <v>2</v>
      </c>
      <c r="B37" s="10" t="s">
        <v>3</v>
      </c>
      <c r="C37" s="128" t="s">
        <v>39</v>
      </c>
      <c r="D37" s="128"/>
      <c r="E37" s="128"/>
      <c r="F37" s="128"/>
      <c r="G37" s="128"/>
      <c r="H37" s="128" t="s">
        <v>40</v>
      </c>
      <c r="I37" s="128"/>
      <c r="J37" s="128"/>
      <c r="K37" s="128"/>
      <c r="L37" s="128"/>
    </row>
    <row r="38" spans="1:12" ht="75" customHeight="1">
      <c r="A38" s="48" t="s">
        <v>273</v>
      </c>
      <c r="B38" s="38" t="s">
        <v>343</v>
      </c>
      <c r="C38" s="149" t="s">
        <v>357</v>
      </c>
      <c r="D38" s="143"/>
      <c r="E38" s="143"/>
      <c r="F38" s="143"/>
      <c r="G38" s="143"/>
      <c r="H38" s="144" t="s">
        <v>358</v>
      </c>
      <c r="I38" s="145"/>
      <c r="J38" s="145"/>
      <c r="K38" s="145"/>
      <c r="L38" s="146"/>
    </row>
    <row r="39" spans="1:12" ht="45" customHeight="1">
      <c r="A39" s="48" t="s">
        <v>274</v>
      </c>
      <c r="B39" s="38" t="s">
        <v>344</v>
      </c>
      <c r="C39" s="149" t="s">
        <v>359</v>
      </c>
      <c r="D39" s="143"/>
      <c r="E39" s="143"/>
      <c r="F39" s="143"/>
      <c r="G39" s="143"/>
      <c r="H39" s="144" t="s">
        <v>360</v>
      </c>
      <c r="I39" s="145"/>
      <c r="J39" s="145"/>
      <c r="K39" s="145"/>
      <c r="L39" s="146"/>
    </row>
    <row r="40" spans="1:12" ht="45" customHeight="1">
      <c r="A40" s="48" t="s">
        <v>275</v>
      </c>
      <c r="B40" s="38" t="s">
        <v>342</v>
      </c>
      <c r="C40" s="149" t="s">
        <v>361</v>
      </c>
      <c r="D40" s="143"/>
      <c r="E40" s="143"/>
      <c r="F40" s="143"/>
      <c r="G40" s="143"/>
      <c r="H40" s="143" t="s">
        <v>362</v>
      </c>
      <c r="I40" s="143"/>
      <c r="J40" s="143"/>
      <c r="K40" s="143"/>
      <c r="L40" s="143"/>
    </row>
    <row r="41" spans="1:12" ht="70.05" customHeight="1">
      <c r="A41" s="48" t="s">
        <v>276</v>
      </c>
      <c r="B41" s="38" t="s">
        <v>332</v>
      </c>
      <c r="C41" s="153" t="s">
        <v>367</v>
      </c>
      <c r="D41" s="154"/>
      <c r="E41" s="154"/>
      <c r="F41" s="154"/>
      <c r="G41" s="154"/>
      <c r="H41" s="144" t="s">
        <v>365</v>
      </c>
      <c r="I41" s="145"/>
      <c r="J41" s="145"/>
      <c r="K41" s="145"/>
      <c r="L41" s="146"/>
    </row>
    <row r="42" spans="1:12" ht="60" customHeight="1">
      <c r="A42" s="48" t="s">
        <v>277</v>
      </c>
      <c r="B42" s="38" t="s">
        <v>333</v>
      </c>
      <c r="C42" s="153" t="s">
        <v>368</v>
      </c>
      <c r="D42" s="154"/>
      <c r="E42" s="154"/>
      <c r="F42" s="154"/>
      <c r="G42" s="154"/>
      <c r="H42" s="144" t="s">
        <v>366</v>
      </c>
      <c r="I42" s="145"/>
      <c r="J42" s="145"/>
      <c r="K42" s="145"/>
      <c r="L42" s="146"/>
    </row>
    <row r="43" spans="1:12" ht="100.05" customHeight="1">
      <c r="A43" s="48" t="s">
        <v>278</v>
      </c>
      <c r="B43" s="38" t="s">
        <v>334</v>
      </c>
      <c r="C43" s="149" t="s">
        <v>364</v>
      </c>
      <c r="D43" s="143"/>
      <c r="E43" s="143"/>
      <c r="F43" s="143"/>
      <c r="G43" s="143"/>
      <c r="H43" s="143" t="s">
        <v>363</v>
      </c>
      <c r="I43" s="143"/>
      <c r="J43" s="143"/>
      <c r="K43" s="143"/>
      <c r="L43" s="143"/>
    </row>
    <row r="44" spans="1:12" s="52" customFormat="1" ht="220.05" customHeight="1">
      <c r="A44" s="48" t="s">
        <v>129</v>
      </c>
      <c r="B44" s="38" t="s">
        <v>341</v>
      </c>
      <c r="C44" s="168" t="s">
        <v>386</v>
      </c>
      <c r="D44" s="169"/>
      <c r="E44" s="169"/>
      <c r="F44" s="169"/>
      <c r="G44" s="170"/>
      <c r="H44" s="171" t="s">
        <v>548</v>
      </c>
      <c r="I44" s="172"/>
      <c r="J44" s="172"/>
      <c r="K44" s="172"/>
      <c r="L44" s="173"/>
    </row>
    <row r="45" spans="1:12" s="52" customFormat="1" ht="45" customHeight="1">
      <c r="A45" s="48" t="s">
        <v>279</v>
      </c>
      <c r="B45" s="38" t="s">
        <v>345</v>
      </c>
      <c r="C45" s="168" t="s">
        <v>391</v>
      </c>
      <c r="D45" s="169"/>
      <c r="E45" s="169"/>
      <c r="F45" s="169"/>
      <c r="G45" s="170"/>
      <c r="H45" s="171" t="s">
        <v>392</v>
      </c>
      <c r="I45" s="172"/>
      <c r="J45" s="172"/>
      <c r="K45" s="172"/>
      <c r="L45" s="173"/>
    </row>
    <row r="46" spans="1:12" s="52" customFormat="1" ht="130.05000000000001" customHeight="1">
      <c r="A46" s="48" t="s">
        <v>280</v>
      </c>
      <c r="B46" s="38" t="s">
        <v>346</v>
      </c>
      <c r="C46" s="168" t="s">
        <v>395</v>
      </c>
      <c r="D46" s="169"/>
      <c r="E46" s="169"/>
      <c r="F46" s="169"/>
      <c r="G46" s="170"/>
      <c r="H46" s="171" t="s">
        <v>399</v>
      </c>
      <c r="I46" s="172"/>
      <c r="J46" s="172"/>
      <c r="K46" s="172"/>
      <c r="L46" s="173"/>
    </row>
    <row r="47" spans="1:12" s="52" customFormat="1" ht="180" customHeight="1">
      <c r="A47" s="48" t="s">
        <v>281</v>
      </c>
      <c r="B47" s="38" t="s">
        <v>347</v>
      </c>
      <c r="C47" s="149" t="s">
        <v>552</v>
      </c>
      <c r="D47" s="143"/>
      <c r="E47" s="143"/>
      <c r="F47" s="143"/>
      <c r="G47" s="143"/>
      <c r="H47" s="144" t="s">
        <v>369</v>
      </c>
      <c r="I47" s="145"/>
      <c r="J47" s="145"/>
      <c r="K47" s="145"/>
      <c r="L47" s="146"/>
    </row>
    <row r="48" spans="1:12" ht="220.05" customHeight="1">
      <c r="A48" s="48" t="s">
        <v>282</v>
      </c>
      <c r="B48" s="117" t="s">
        <v>549</v>
      </c>
      <c r="C48" s="168" t="s">
        <v>397</v>
      </c>
      <c r="D48" s="169"/>
      <c r="E48" s="169"/>
      <c r="F48" s="169"/>
      <c r="G48" s="170"/>
      <c r="H48" s="171" t="s">
        <v>398</v>
      </c>
      <c r="I48" s="172"/>
      <c r="J48" s="172"/>
      <c r="K48" s="172"/>
      <c r="L48" s="173"/>
    </row>
    <row r="49" spans="1:12" ht="75" customHeight="1">
      <c r="A49" s="48" t="s">
        <v>283</v>
      </c>
      <c r="B49" s="38" t="s">
        <v>350</v>
      </c>
      <c r="C49" s="174" t="s">
        <v>393</v>
      </c>
      <c r="D49" s="160"/>
      <c r="E49" s="160"/>
      <c r="F49" s="160"/>
      <c r="G49" s="160"/>
      <c r="H49" s="144" t="s">
        <v>394</v>
      </c>
      <c r="I49" s="145"/>
      <c r="J49" s="145"/>
      <c r="K49" s="145"/>
      <c r="L49" s="146"/>
    </row>
    <row r="50" spans="1:12" ht="100.05" customHeight="1">
      <c r="A50" s="48" t="s">
        <v>284</v>
      </c>
      <c r="B50" s="38" t="s">
        <v>351</v>
      </c>
      <c r="C50" s="150" t="s">
        <v>477</v>
      </c>
      <c r="D50" s="151"/>
      <c r="E50" s="151"/>
      <c r="F50" s="151"/>
      <c r="G50" s="152"/>
      <c r="H50" s="144" t="s">
        <v>478</v>
      </c>
      <c r="I50" s="145"/>
      <c r="J50" s="145"/>
      <c r="K50" s="145"/>
      <c r="L50" s="146"/>
    </row>
    <row r="51" spans="1:12" s="52" customFormat="1" ht="16.05" customHeight="1">
      <c r="A51" s="40"/>
      <c r="B51" s="16"/>
      <c r="C51" s="53"/>
      <c r="D51" s="53"/>
      <c r="E51" s="53"/>
      <c r="F51" s="53"/>
      <c r="G51" s="53"/>
      <c r="H51" s="53"/>
      <c r="I51" s="53"/>
      <c r="J51" s="53"/>
      <c r="K51" s="53"/>
      <c r="L51" s="53"/>
    </row>
    <row r="52" spans="1:12" ht="30" customHeight="1">
      <c r="A52" s="28" t="s">
        <v>62</v>
      </c>
      <c r="C52" s="132"/>
      <c r="D52" s="132"/>
      <c r="E52" s="132"/>
      <c r="F52" s="132"/>
      <c r="G52" s="132"/>
      <c r="H52" s="132"/>
      <c r="I52" s="132"/>
      <c r="J52" s="132"/>
      <c r="K52" s="132"/>
      <c r="L52" s="132"/>
    </row>
    <row r="53" spans="1:12" ht="16.05" customHeight="1">
      <c r="B53" s="16"/>
      <c r="C53" s="165" t="s">
        <v>338</v>
      </c>
      <c r="D53" s="165"/>
      <c r="E53" s="165"/>
      <c r="F53" s="165"/>
      <c r="G53" s="165"/>
      <c r="H53" s="165"/>
      <c r="I53" s="165"/>
      <c r="J53" s="165"/>
      <c r="K53" s="165"/>
      <c r="L53" s="165"/>
    </row>
    <row r="54" spans="1:12" s="16" customFormat="1" ht="16.05" customHeight="1">
      <c r="C54" s="140"/>
      <c r="D54" s="140"/>
      <c r="E54" s="140"/>
      <c r="F54" s="140"/>
      <c r="G54" s="140"/>
      <c r="H54" s="140"/>
      <c r="I54" s="140"/>
      <c r="J54" s="140"/>
      <c r="K54" s="140"/>
      <c r="L54" s="140"/>
    </row>
    <row r="55" spans="1:12" s="16" customFormat="1" ht="30" customHeight="1">
      <c r="A55" s="28" t="s">
        <v>74</v>
      </c>
      <c r="C55" s="133"/>
      <c r="D55" s="133"/>
      <c r="E55" s="133"/>
      <c r="F55" s="133"/>
      <c r="G55" s="133"/>
      <c r="H55" s="133"/>
      <c r="I55" s="133"/>
      <c r="J55" s="133"/>
      <c r="K55" s="133"/>
      <c r="L55" s="133"/>
    </row>
    <row r="56" spans="1:12" s="16" customFormat="1" ht="75" customHeight="1">
      <c r="A56" s="57"/>
      <c r="B56" s="116" t="s">
        <v>554</v>
      </c>
      <c r="C56" s="143" t="s">
        <v>356</v>
      </c>
      <c r="D56" s="143"/>
      <c r="E56" s="143"/>
      <c r="F56" s="143"/>
      <c r="G56" s="143"/>
      <c r="H56" s="143"/>
      <c r="I56" s="143"/>
      <c r="J56" s="143"/>
      <c r="K56" s="143"/>
      <c r="L56" s="143"/>
    </row>
    <row r="57" spans="1:12" s="16" customFormat="1" ht="75" customHeight="1">
      <c r="B57" s="58" t="s">
        <v>400</v>
      </c>
      <c r="C57" s="143" t="s">
        <v>401</v>
      </c>
      <c r="D57" s="143"/>
      <c r="E57" s="143"/>
      <c r="F57" s="143"/>
      <c r="G57" s="143"/>
      <c r="H57" s="143"/>
      <c r="I57" s="143"/>
      <c r="J57" s="143"/>
      <c r="K57" s="143"/>
      <c r="L57" s="143"/>
    </row>
    <row r="58" spans="1:12" ht="19.95" customHeight="1">
      <c r="B58" s="60" t="s">
        <v>354</v>
      </c>
      <c r="C58" s="143" t="s">
        <v>337</v>
      </c>
      <c r="D58" s="143"/>
      <c r="E58" s="143"/>
      <c r="F58" s="143"/>
      <c r="G58" s="143"/>
      <c r="H58" s="143"/>
      <c r="I58" s="143"/>
      <c r="J58" s="143"/>
      <c r="K58" s="143"/>
      <c r="L58" s="143"/>
    </row>
    <row r="59" spans="1:12" ht="19.95" customHeight="1">
      <c r="B59" s="60" t="s">
        <v>355</v>
      </c>
      <c r="C59" s="143"/>
      <c r="D59" s="143"/>
      <c r="E59" s="143"/>
      <c r="F59" s="143"/>
      <c r="G59" s="143"/>
      <c r="H59" s="143"/>
      <c r="I59" s="143"/>
      <c r="J59" s="143"/>
      <c r="K59" s="143"/>
      <c r="L59" s="143"/>
    </row>
    <row r="60" spans="1:12">
      <c r="C60" s="132"/>
      <c r="D60" s="132"/>
      <c r="E60" s="132"/>
      <c r="F60" s="132"/>
      <c r="G60" s="132"/>
      <c r="H60" s="132"/>
      <c r="I60" s="132"/>
      <c r="J60" s="132"/>
      <c r="K60" s="132"/>
      <c r="L60" s="132"/>
    </row>
    <row r="61" spans="1:12" s="16" customFormat="1" ht="30" customHeight="1">
      <c r="A61" s="28" t="s">
        <v>81</v>
      </c>
      <c r="C61" s="133"/>
      <c r="D61" s="133"/>
      <c r="E61" s="133"/>
      <c r="F61" s="133"/>
      <c r="G61" s="133"/>
      <c r="H61" s="133"/>
      <c r="I61" s="133"/>
      <c r="J61" s="133"/>
      <c r="K61" s="133"/>
      <c r="L61" s="133"/>
    </row>
    <row r="62" spans="1:12" s="39" customFormat="1" ht="109.95" customHeight="1">
      <c r="A62" s="37"/>
      <c r="B62" s="61" t="s">
        <v>85</v>
      </c>
      <c r="C62" s="160" t="s">
        <v>84</v>
      </c>
      <c r="D62" s="160"/>
      <c r="E62" s="160"/>
      <c r="F62" s="160"/>
      <c r="G62" s="160"/>
      <c r="H62" s="160"/>
      <c r="I62" s="160"/>
      <c r="J62" s="160"/>
      <c r="K62" s="160"/>
      <c r="L62" s="160"/>
    </row>
    <row r="63" spans="1:12">
      <c r="A63" s="35"/>
      <c r="C63" s="141"/>
      <c r="D63" s="141"/>
      <c r="E63" s="141"/>
      <c r="F63" s="141"/>
      <c r="G63" s="141"/>
      <c r="H63" s="141"/>
      <c r="I63" s="141"/>
      <c r="J63" s="141"/>
      <c r="K63" s="141"/>
      <c r="L63" s="141"/>
    </row>
    <row r="64" spans="1:12" ht="15.6">
      <c r="A64" s="28" t="s">
        <v>88</v>
      </c>
      <c r="B64" s="16"/>
      <c r="C64" s="133"/>
      <c r="D64" s="133"/>
      <c r="E64" s="133"/>
      <c r="F64" s="133"/>
      <c r="G64" s="133"/>
      <c r="H64" s="133"/>
      <c r="I64" s="133"/>
      <c r="J64" s="133"/>
      <c r="K64" s="133"/>
      <c r="L64" s="133"/>
    </row>
    <row r="65" spans="2:13" ht="60" customHeight="1">
      <c r="B65" s="62" t="s">
        <v>402</v>
      </c>
      <c r="C65" s="157" t="s">
        <v>462</v>
      </c>
      <c r="D65" s="158"/>
      <c r="E65" s="158"/>
      <c r="F65" s="158"/>
      <c r="G65" s="158"/>
      <c r="H65" s="158"/>
      <c r="I65" s="158"/>
      <c r="J65" s="158"/>
      <c r="K65" s="158"/>
      <c r="L65" s="159"/>
    </row>
    <row r="68" spans="2:13">
      <c r="C68" s="199">
        <f>(C11*C20+Промышленность!C11*Промышленность!C21+Энергетика!C11-3*'Сельхоз и ОС'!C14)/20000</f>
        <v>9.5000000000000001E-2</v>
      </c>
    </row>
    <row r="70" spans="2:13">
      <c r="C70" s="199">
        <f>D11*D20/1000*D17*6250</f>
        <v>2889.6</v>
      </c>
    </row>
    <row r="71" spans="2:13">
      <c r="B71" s="56"/>
    </row>
    <row r="73" spans="2:13"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</row>
    <row r="75" spans="2:13">
      <c r="I75" s="56"/>
      <c r="J75" s="56"/>
    </row>
    <row r="76" spans="2:13">
      <c r="I76" s="56"/>
      <c r="J76" s="56"/>
    </row>
  </sheetData>
  <mergeCells count="53">
    <mergeCell ref="C64:G64"/>
    <mergeCell ref="H64:L64"/>
    <mergeCell ref="C65:L65"/>
    <mergeCell ref="C61:G61"/>
    <mergeCell ref="H61:L61"/>
    <mergeCell ref="C62:L62"/>
    <mergeCell ref="C63:G63"/>
    <mergeCell ref="H63:L63"/>
    <mergeCell ref="C55:G55"/>
    <mergeCell ref="H55:L55"/>
    <mergeCell ref="C60:G60"/>
    <mergeCell ref="H60:L60"/>
    <mergeCell ref="C57:L57"/>
    <mergeCell ref="C58:L59"/>
    <mergeCell ref="C56:L56"/>
    <mergeCell ref="C54:G54"/>
    <mergeCell ref="H54:L54"/>
    <mergeCell ref="C53:L53"/>
    <mergeCell ref="C49:G49"/>
    <mergeCell ref="H49:L49"/>
    <mergeCell ref="C50:G50"/>
    <mergeCell ref="H50:L50"/>
    <mergeCell ref="C52:G52"/>
    <mergeCell ref="H52:L52"/>
    <mergeCell ref="C42:G42"/>
    <mergeCell ref="H42:L42"/>
    <mergeCell ref="C43:G43"/>
    <mergeCell ref="H43:L43"/>
    <mergeCell ref="C48:G48"/>
    <mergeCell ref="H48:L48"/>
    <mergeCell ref="C44:G44"/>
    <mergeCell ref="C45:G45"/>
    <mergeCell ref="C46:G46"/>
    <mergeCell ref="C47:G47"/>
    <mergeCell ref="H44:L44"/>
    <mergeCell ref="H45:L45"/>
    <mergeCell ref="H46:L46"/>
    <mergeCell ref="H47:L47"/>
    <mergeCell ref="C39:G39"/>
    <mergeCell ref="H39:L39"/>
    <mergeCell ref="C40:G40"/>
    <mergeCell ref="H40:L40"/>
    <mergeCell ref="C41:G41"/>
    <mergeCell ref="H41:L41"/>
    <mergeCell ref="C38:G38"/>
    <mergeCell ref="H38:L38"/>
    <mergeCell ref="A4:B5"/>
    <mergeCell ref="C4:M4"/>
    <mergeCell ref="A8:B8"/>
    <mergeCell ref="A16:B16"/>
    <mergeCell ref="C37:G37"/>
    <mergeCell ref="H37:L37"/>
    <mergeCell ref="D6:L6"/>
  </mergeCells>
  <pageMargins left="0.47244094488188981" right="0.47244094488188981" top="0.98425196850393704" bottom="0.98425196850393704" header="0.31496062992125984" footer="0.31496062992125984"/>
  <pageSetup paperSize="9" scale="68" orientation="landscape" horizontalDpi="180" verticalDpi="180" r:id="rId1"/>
  <rowBreaks count="1" manualBreakCount="1">
    <brk id="29" max="16383" man="1"/>
  </rowBreaks>
  <ignoredErrors>
    <ignoredError sqref="E7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74"/>
  <sheetViews>
    <sheetView topLeftCell="A9" workbookViewId="0">
      <selection activeCell="C9" sqref="C9:D9"/>
    </sheetView>
  </sheetViews>
  <sheetFormatPr defaultRowHeight="15"/>
  <cols>
    <col min="1" max="1" width="16.77734375" style="26" customWidth="1"/>
    <col min="2" max="2" width="61.77734375" style="26" customWidth="1"/>
    <col min="3" max="12" width="10.77734375" style="26" customWidth="1"/>
    <col min="13" max="16384" width="8.88671875" style="26"/>
  </cols>
  <sheetData>
    <row r="1" spans="1:13" ht="28.05" customHeight="1">
      <c r="C1" s="33" t="s">
        <v>72</v>
      </c>
      <c r="D1" s="34"/>
      <c r="E1" s="34"/>
      <c r="F1" s="34"/>
      <c r="G1" s="34"/>
      <c r="I1" s="33" t="s">
        <v>73</v>
      </c>
      <c r="J1" s="34"/>
      <c r="K1" s="34"/>
      <c r="L1" s="34"/>
    </row>
    <row r="2" spans="1:13" ht="28.05" customHeight="1">
      <c r="C2" s="33"/>
      <c r="D2" s="16"/>
      <c r="E2" s="16"/>
      <c r="F2" s="16"/>
      <c r="G2" s="16"/>
      <c r="I2" s="33"/>
      <c r="J2" s="16"/>
      <c r="K2" s="16"/>
      <c r="L2" s="16"/>
    </row>
    <row r="4" spans="1:13" s="66" customFormat="1" ht="19.95" customHeight="1">
      <c r="A4" s="167" t="s">
        <v>403</v>
      </c>
      <c r="B4" s="167"/>
      <c r="C4" s="175" t="s">
        <v>30</v>
      </c>
      <c r="D4" s="175"/>
      <c r="E4" s="175"/>
      <c r="F4" s="175"/>
      <c r="G4" s="175"/>
      <c r="H4" s="175"/>
      <c r="I4" s="175"/>
      <c r="J4" s="175"/>
      <c r="K4" s="175"/>
      <c r="L4" s="175"/>
    </row>
    <row r="5" spans="1:13" ht="19.95" customHeight="1">
      <c r="A5" s="167"/>
      <c r="B5" s="167"/>
    </row>
    <row r="6" spans="1:13" s="28" customFormat="1" ht="30" customHeight="1">
      <c r="A6" s="10" t="s">
        <v>2</v>
      </c>
      <c r="B6" s="10" t="s">
        <v>3</v>
      </c>
      <c r="C6" s="6" t="s">
        <v>10</v>
      </c>
      <c r="D6" s="121" t="s">
        <v>4</v>
      </c>
      <c r="E6" s="121"/>
      <c r="F6" s="121"/>
      <c r="G6" s="121"/>
      <c r="H6" s="121"/>
      <c r="I6" s="121"/>
      <c r="J6" s="121"/>
      <c r="K6" s="121"/>
      <c r="L6" s="121"/>
      <c r="M6" s="5"/>
    </row>
    <row r="7" spans="1:13" ht="15.6">
      <c r="C7" s="20" t="s">
        <v>5</v>
      </c>
      <c r="D7" s="21" t="s">
        <v>6</v>
      </c>
      <c r="E7" s="20" t="s">
        <v>7</v>
      </c>
      <c r="F7" s="21" t="s">
        <v>8</v>
      </c>
      <c r="G7" s="20" t="s">
        <v>9</v>
      </c>
      <c r="H7" s="21" t="s">
        <v>11</v>
      </c>
      <c r="I7" s="20" t="s">
        <v>12</v>
      </c>
      <c r="J7" s="21" t="s">
        <v>13</v>
      </c>
      <c r="K7" s="20" t="s">
        <v>14</v>
      </c>
      <c r="L7" s="21" t="s">
        <v>15</v>
      </c>
    </row>
    <row r="8" spans="1:13" ht="16.05" customHeight="1">
      <c r="A8" s="127" t="s">
        <v>1</v>
      </c>
      <c r="B8" s="127"/>
    </row>
    <row r="9" spans="1:13" ht="16.05" customHeight="1">
      <c r="A9" s="8" t="s">
        <v>126</v>
      </c>
      <c r="B9" s="9" t="s">
        <v>429</v>
      </c>
      <c r="C9" s="11">
        <v>0</v>
      </c>
      <c r="D9" s="198">
        <f>C9+C27+C14-C30</f>
        <v>1000</v>
      </c>
      <c r="E9" s="11"/>
      <c r="F9" s="11"/>
      <c r="G9" s="11"/>
      <c r="H9" s="11"/>
      <c r="I9" s="11"/>
      <c r="J9" s="11"/>
      <c r="K9" s="11"/>
      <c r="L9" s="11"/>
    </row>
    <row r="10" spans="1:13" ht="16.05" customHeight="1">
      <c r="C10" s="12"/>
      <c r="D10" s="12"/>
      <c r="E10" s="12"/>
      <c r="F10" s="12"/>
      <c r="G10" s="12"/>
      <c r="H10" s="12"/>
      <c r="I10" s="12"/>
      <c r="J10" s="12"/>
      <c r="K10" s="12"/>
      <c r="L10" s="12"/>
    </row>
    <row r="11" spans="1:13" ht="16.05" customHeight="1">
      <c r="A11" s="127" t="s">
        <v>0</v>
      </c>
      <c r="B11" s="127"/>
      <c r="C11" s="12"/>
      <c r="D11" s="12"/>
      <c r="E11" s="12"/>
      <c r="F11" s="12"/>
      <c r="G11" s="12"/>
      <c r="H11" s="12"/>
      <c r="I11" s="12"/>
      <c r="J11" s="12"/>
      <c r="K11" s="12"/>
      <c r="L11" s="12"/>
    </row>
    <row r="12" spans="1:13" ht="16.05" customHeight="1">
      <c r="A12" s="8" t="s">
        <v>404</v>
      </c>
      <c r="B12" s="9" t="s">
        <v>456</v>
      </c>
      <c r="C12" s="11">
        <v>10</v>
      </c>
      <c r="D12" s="11">
        <v>10</v>
      </c>
      <c r="E12" s="11"/>
      <c r="F12" s="11"/>
      <c r="G12" s="11"/>
      <c r="H12" s="11"/>
      <c r="I12" s="11"/>
      <c r="J12" s="11"/>
      <c r="K12" s="11"/>
      <c r="L12" s="11"/>
    </row>
    <row r="13" spans="1:13" ht="16.05" customHeight="1">
      <c r="A13" s="8" t="s">
        <v>405</v>
      </c>
      <c r="B13" s="9" t="s">
        <v>435</v>
      </c>
      <c r="C13" s="11">
        <v>1</v>
      </c>
      <c r="D13" s="11">
        <v>1</v>
      </c>
      <c r="E13" s="11"/>
      <c r="F13" s="11"/>
      <c r="G13" s="11"/>
      <c r="H13" s="11"/>
      <c r="I13" s="11"/>
      <c r="J13" s="11"/>
      <c r="K13" s="11"/>
      <c r="L13" s="11"/>
    </row>
    <row r="14" spans="1:13" s="56" customFormat="1" ht="16.05" customHeight="1">
      <c r="A14" s="8" t="s">
        <v>406</v>
      </c>
      <c r="B14" s="9" t="s">
        <v>446</v>
      </c>
      <c r="C14" s="11">
        <v>0</v>
      </c>
      <c r="D14" s="11">
        <f>D9*D12/100*5</f>
        <v>500</v>
      </c>
      <c r="E14" s="11"/>
      <c r="F14" s="11"/>
      <c r="G14" s="11"/>
      <c r="H14" s="11"/>
      <c r="I14" s="11"/>
      <c r="J14" s="11"/>
      <c r="K14" s="11"/>
      <c r="L14" s="11"/>
    </row>
    <row r="15" spans="1:13" s="56" customFormat="1" ht="16.05" customHeight="1">
      <c r="A15" s="8" t="s">
        <v>407</v>
      </c>
      <c r="B15" s="9" t="s">
        <v>444</v>
      </c>
      <c r="C15" s="11">
        <v>1000</v>
      </c>
      <c r="D15" s="11">
        <v>1300</v>
      </c>
      <c r="E15" s="11"/>
      <c r="F15" s="11"/>
      <c r="G15" s="11"/>
      <c r="H15" s="11"/>
      <c r="I15" s="11"/>
      <c r="J15" s="11"/>
      <c r="K15" s="11"/>
      <c r="L15" s="11"/>
    </row>
    <row r="16" spans="1:13" ht="16.05" customHeight="1">
      <c r="A16" s="8" t="s">
        <v>408</v>
      </c>
      <c r="B16" s="9" t="s">
        <v>432</v>
      </c>
      <c r="C16" s="11">
        <v>1</v>
      </c>
      <c r="D16" s="11">
        <f>D13*1</f>
        <v>1</v>
      </c>
      <c r="E16" s="11"/>
      <c r="F16" s="11"/>
      <c r="G16" s="11"/>
      <c r="H16" s="11"/>
      <c r="I16" s="11"/>
      <c r="J16" s="11"/>
      <c r="K16" s="11"/>
      <c r="L16" s="11"/>
    </row>
    <row r="17" spans="1:12" ht="16.05" customHeight="1">
      <c r="A17" s="8" t="s">
        <v>409</v>
      </c>
      <c r="B17" s="9" t="s">
        <v>433</v>
      </c>
      <c r="C17" s="11">
        <v>1.1000000000000001</v>
      </c>
      <c r="D17" s="11">
        <f>D13*1.1</f>
        <v>1.1000000000000001</v>
      </c>
      <c r="E17" s="11"/>
      <c r="F17" s="11"/>
      <c r="G17" s="11"/>
      <c r="H17" s="11"/>
      <c r="I17" s="11"/>
      <c r="J17" s="11"/>
      <c r="K17" s="11"/>
      <c r="L17" s="11"/>
    </row>
    <row r="18" spans="1:12" ht="16.05" customHeight="1">
      <c r="A18" s="8" t="s">
        <v>410</v>
      </c>
      <c r="B18" s="9" t="s">
        <v>434</v>
      </c>
      <c r="C18" s="11">
        <v>1.1000000000000001</v>
      </c>
      <c r="D18" s="11">
        <f>D13*1.1</f>
        <v>1.1000000000000001</v>
      </c>
      <c r="E18" s="11"/>
      <c r="F18" s="11"/>
      <c r="G18" s="11"/>
      <c r="H18" s="11"/>
      <c r="I18" s="11"/>
      <c r="J18" s="11"/>
      <c r="K18" s="11"/>
      <c r="L18" s="11"/>
    </row>
    <row r="19" spans="1:12" ht="16.05" customHeight="1">
      <c r="C19" s="12"/>
      <c r="D19" s="12"/>
      <c r="E19" s="12"/>
      <c r="F19" s="12"/>
      <c r="G19" s="12"/>
      <c r="H19" s="12"/>
      <c r="I19" s="12"/>
      <c r="J19" s="12"/>
      <c r="K19" s="12"/>
      <c r="L19" s="12"/>
    </row>
    <row r="20" spans="1:12" ht="16.05" customHeight="1">
      <c r="A20" s="194" t="s">
        <v>411</v>
      </c>
      <c r="B20" s="13" t="s">
        <v>416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</row>
    <row r="21" spans="1:12" ht="16.05" customHeight="1">
      <c r="A21" s="8" t="s">
        <v>412</v>
      </c>
      <c r="B21" s="9" t="s">
        <v>436</v>
      </c>
      <c r="C21" s="195">
        <v>0</v>
      </c>
      <c r="D21" s="195"/>
      <c r="E21" s="195"/>
      <c r="F21" s="195"/>
      <c r="G21" s="195"/>
      <c r="H21" s="195"/>
      <c r="I21" s="195"/>
      <c r="J21" s="195"/>
      <c r="K21" s="195"/>
      <c r="L21" s="195"/>
    </row>
    <row r="22" spans="1:12" s="56" customFormat="1" ht="16.05" customHeight="1">
      <c r="A22" s="8" t="s">
        <v>413</v>
      </c>
      <c r="B22" s="9" t="s">
        <v>437</v>
      </c>
      <c r="C22" s="195">
        <v>0</v>
      </c>
      <c r="D22" s="195"/>
      <c r="E22" s="195"/>
      <c r="F22" s="195"/>
      <c r="G22" s="195"/>
      <c r="H22" s="195"/>
      <c r="I22" s="195"/>
      <c r="J22" s="195"/>
      <c r="K22" s="195"/>
      <c r="L22" s="195"/>
    </row>
    <row r="23" spans="1:12" s="56" customFormat="1" ht="16.05" customHeight="1">
      <c r="A23" s="8" t="s">
        <v>414</v>
      </c>
      <c r="B23" s="9" t="s">
        <v>438</v>
      </c>
      <c r="C23" s="195">
        <v>0</v>
      </c>
      <c r="D23" s="195"/>
      <c r="E23" s="195"/>
      <c r="F23" s="195"/>
      <c r="G23" s="195"/>
      <c r="H23" s="195"/>
      <c r="I23" s="195"/>
      <c r="J23" s="195"/>
      <c r="K23" s="195"/>
      <c r="L23" s="195"/>
    </row>
    <row r="24" spans="1:12" ht="16.05" customHeight="1">
      <c r="A24" s="8" t="s">
        <v>415</v>
      </c>
      <c r="B24" s="9" t="s">
        <v>439</v>
      </c>
      <c r="C24" s="195">
        <v>1300</v>
      </c>
      <c r="D24" s="195"/>
      <c r="E24" s="195"/>
      <c r="F24" s="195"/>
      <c r="G24" s="195"/>
      <c r="H24" s="195"/>
      <c r="I24" s="195"/>
      <c r="J24" s="195"/>
      <c r="K24" s="195"/>
      <c r="L24" s="195"/>
    </row>
    <row r="25" spans="1:12" ht="16.05" customHeight="1">
      <c r="C25" s="12"/>
      <c r="D25" s="12"/>
      <c r="E25" s="12"/>
      <c r="F25" s="12"/>
      <c r="G25" s="12"/>
      <c r="H25" s="12"/>
      <c r="I25" s="12"/>
      <c r="J25" s="12"/>
      <c r="K25" s="12"/>
      <c r="L25" s="12"/>
    </row>
    <row r="26" spans="1:12" ht="16.05" customHeight="1">
      <c r="A26" s="194" t="s">
        <v>419</v>
      </c>
      <c r="B26" s="13" t="s">
        <v>418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</row>
    <row r="27" spans="1:12" ht="16.05" customHeight="1">
      <c r="A27" s="8" t="s">
        <v>417</v>
      </c>
      <c r="B27" s="9" t="s">
        <v>445</v>
      </c>
      <c r="C27" s="195">
        <v>1000</v>
      </c>
      <c r="D27" s="195"/>
      <c r="E27" s="195"/>
      <c r="F27" s="195"/>
      <c r="G27" s="195"/>
      <c r="H27" s="195"/>
      <c r="I27" s="195"/>
      <c r="J27" s="195"/>
      <c r="K27" s="195"/>
      <c r="L27" s="195"/>
    </row>
    <row r="28" spans="1:12" s="16" customFormat="1" ht="15.6" customHeight="1">
      <c r="A28" s="40"/>
      <c r="C28" s="15"/>
      <c r="D28" s="15"/>
      <c r="E28" s="15"/>
      <c r="F28" s="15"/>
      <c r="G28" s="15"/>
      <c r="H28" s="15"/>
      <c r="I28" s="15"/>
      <c r="J28" s="15"/>
      <c r="K28" s="15"/>
      <c r="L28" s="15"/>
    </row>
    <row r="29" spans="1:12" s="56" customFormat="1" ht="16.05" customHeight="1">
      <c r="A29" s="194" t="s">
        <v>420</v>
      </c>
      <c r="B29" s="13" t="s">
        <v>421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</row>
    <row r="30" spans="1:12" s="56" customFormat="1" ht="16.05" customHeight="1">
      <c r="A30" s="8" t="s">
        <v>422</v>
      </c>
      <c r="B30" s="9" t="s">
        <v>440</v>
      </c>
      <c r="C30" s="195">
        <v>0</v>
      </c>
      <c r="D30" s="195"/>
      <c r="E30" s="195"/>
      <c r="F30" s="195"/>
      <c r="G30" s="195"/>
      <c r="H30" s="195"/>
      <c r="I30" s="195"/>
      <c r="J30" s="195"/>
      <c r="K30" s="195"/>
      <c r="L30" s="195"/>
    </row>
    <row r="31" spans="1:12" s="16" customFormat="1" ht="15.6" customHeight="1">
      <c r="A31" s="40"/>
      <c r="C31" s="15"/>
      <c r="D31" s="15"/>
      <c r="E31" s="15"/>
      <c r="F31" s="15"/>
      <c r="G31" s="15"/>
      <c r="H31" s="15"/>
      <c r="I31" s="15"/>
      <c r="J31" s="15"/>
      <c r="K31" s="15"/>
      <c r="L31" s="15"/>
    </row>
    <row r="32" spans="1:12" s="56" customFormat="1" ht="16.05" customHeight="1">
      <c r="A32" s="194" t="s">
        <v>423</v>
      </c>
      <c r="B32" s="13" t="s">
        <v>424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</row>
    <row r="33" spans="1:12" s="56" customFormat="1" ht="16.05" customHeight="1">
      <c r="A33" s="8" t="s">
        <v>425</v>
      </c>
      <c r="B33" s="9" t="s">
        <v>490</v>
      </c>
      <c r="C33" s="195">
        <v>2300</v>
      </c>
      <c r="D33" s="195"/>
      <c r="E33" s="195"/>
      <c r="F33" s="195"/>
      <c r="G33" s="195"/>
      <c r="H33" s="195"/>
      <c r="I33" s="195"/>
      <c r="J33" s="195"/>
      <c r="K33" s="195"/>
      <c r="L33" s="195"/>
    </row>
    <row r="34" spans="1:12" s="56" customFormat="1" ht="16.05" customHeight="1">
      <c r="A34" s="8" t="s">
        <v>426</v>
      </c>
      <c r="B34" s="9" t="s">
        <v>441</v>
      </c>
      <c r="C34" s="195">
        <v>1000</v>
      </c>
      <c r="D34" s="195"/>
      <c r="E34" s="195"/>
      <c r="F34" s="195"/>
      <c r="G34" s="195"/>
      <c r="H34" s="195"/>
      <c r="I34" s="195"/>
      <c r="J34" s="195"/>
      <c r="K34" s="195"/>
      <c r="L34" s="195"/>
    </row>
    <row r="35" spans="1:12" s="56" customFormat="1" ht="16.05" customHeight="1">
      <c r="A35" s="8" t="s">
        <v>427</v>
      </c>
      <c r="B35" s="9" t="s">
        <v>442</v>
      </c>
      <c r="C35" s="195">
        <v>1300</v>
      </c>
      <c r="D35" s="195"/>
      <c r="E35" s="195"/>
      <c r="F35" s="195"/>
      <c r="G35" s="195"/>
      <c r="H35" s="195"/>
      <c r="I35" s="195"/>
      <c r="J35" s="195"/>
      <c r="K35" s="195"/>
      <c r="L35" s="195"/>
    </row>
    <row r="36" spans="1:12" s="56" customFormat="1" ht="16.05" customHeight="1">
      <c r="A36" s="8" t="s">
        <v>428</v>
      </c>
      <c r="B36" s="9" t="s">
        <v>443</v>
      </c>
      <c r="C36" s="195">
        <v>0</v>
      </c>
      <c r="D36" s="195"/>
      <c r="E36" s="195"/>
      <c r="F36" s="195"/>
      <c r="G36" s="195"/>
      <c r="H36" s="195"/>
      <c r="I36" s="195"/>
      <c r="J36" s="195"/>
      <c r="K36" s="195"/>
      <c r="L36" s="195"/>
    </row>
    <row r="37" spans="1:12" s="56" customFormat="1" ht="16.05" customHeight="1">
      <c r="A37" s="19" t="s">
        <v>42</v>
      </c>
      <c r="B37" s="9" t="s">
        <v>538</v>
      </c>
      <c r="C37" s="45">
        <f>IF(C34+C35+C36=C33, C33, "проверь!")</f>
        <v>2300</v>
      </c>
      <c r="D37" s="15"/>
      <c r="E37" s="15"/>
      <c r="F37" s="15"/>
      <c r="G37" s="15"/>
      <c r="H37" s="15"/>
      <c r="I37" s="15"/>
      <c r="J37" s="15"/>
      <c r="K37" s="15"/>
      <c r="L37" s="15"/>
    </row>
    <row r="38" spans="1:12" s="56" customFormat="1" ht="16.05" customHeight="1">
      <c r="A38" s="40"/>
      <c r="B38" s="16" t="s">
        <v>539</v>
      </c>
      <c r="C38" s="45">
        <f>IF(C21+C22+C23+C24+C27-C30=C33,C33,"проверь!")</f>
        <v>2300</v>
      </c>
      <c r="D38" s="15"/>
      <c r="E38" s="15"/>
      <c r="F38" s="15"/>
      <c r="G38" s="15"/>
      <c r="H38" s="15"/>
      <c r="I38" s="15"/>
      <c r="J38" s="15"/>
      <c r="K38" s="15"/>
      <c r="L38" s="15"/>
    </row>
    <row r="39" spans="1:12" s="56" customFormat="1" ht="16.05" customHeight="1">
      <c r="A39" s="40"/>
      <c r="B39" s="16"/>
      <c r="C39" s="15"/>
      <c r="D39" s="15"/>
      <c r="E39" s="15"/>
      <c r="F39" s="15"/>
      <c r="G39" s="15"/>
      <c r="H39" s="15"/>
      <c r="I39" s="15"/>
      <c r="J39" s="15"/>
      <c r="K39" s="15"/>
      <c r="L39" s="15"/>
    </row>
    <row r="40" spans="1:12" ht="16.05" customHeight="1"/>
    <row r="41" spans="1:12" ht="16.05" customHeight="1">
      <c r="A41" s="28" t="s">
        <v>35</v>
      </c>
      <c r="C41" s="26" t="s">
        <v>44</v>
      </c>
      <c r="D41" s="26" t="s">
        <v>46</v>
      </c>
      <c r="G41" s="26" t="s">
        <v>70</v>
      </c>
    </row>
    <row r="42" spans="1:12" ht="16.05" customHeight="1">
      <c r="C42" s="26" t="s">
        <v>47</v>
      </c>
      <c r="D42" s="26" t="s">
        <v>48</v>
      </c>
      <c r="G42" s="26" t="s">
        <v>67</v>
      </c>
    </row>
    <row r="43" spans="1:12" ht="19.95" customHeight="1">
      <c r="A43" s="4" t="s">
        <v>34</v>
      </c>
    </row>
    <row r="44" spans="1:12" ht="16.05" customHeight="1"/>
    <row r="45" spans="1:12" ht="16.05" customHeight="1">
      <c r="A45" s="10" t="s">
        <v>2</v>
      </c>
      <c r="B45" s="10" t="s">
        <v>3</v>
      </c>
      <c r="C45" s="128" t="s">
        <v>39</v>
      </c>
      <c r="D45" s="128"/>
      <c r="E45" s="128"/>
      <c r="F45" s="128"/>
      <c r="G45" s="128"/>
      <c r="H45" s="128" t="s">
        <v>40</v>
      </c>
      <c r="I45" s="128"/>
      <c r="J45" s="128"/>
      <c r="K45" s="128"/>
      <c r="L45" s="128"/>
    </row>
    <row r="46" spans="1:12" ht="120" customHeight="1">
      <c r="A46" s="48" t="s">
        <v>126</v>
      </c>
      <c r="B46" s="64" t="s">
        <v>429</v>
      </c>
      <c r="C46" s="174" t="s">
        <v>447</v>
      </c>
      <c r="D46" s="160"/>
      <c r="E46" s="160"/>
      <c r="F46" s="160"/>
      <c r="G46" s="160"/>
      <c r="H46" s="171" t="s">
        <v>448</v>
      </c>
      <c r="I46" s="172"/>
      <c r="J46" s="172"/>
      <c r="K46" s="172"/>
      <c r="L46" s="173"/>
    </row>
    <row r="47" spans="1:12" ht="100.05" customHeight="1">
      <c r="A47" s="48" t="s">
        <v>404</v>
      </c>
      <c r="B47" s="64" t="s">
        <v>457</v>
      </c>
      <c r="C47" s="174" t="s">
        <v>459</v>
      </c>
      <c r="D47" s="160"/>
      <c r="E47" s="160"/>
      <c r="F47" s="160"/>
      <c r="G47" s="160"/>
      <c r="H47" s="160" t="s">
        <v>458</v>
      </c>
      <c r="I47" s="160"/>
      <c r="J47" s="160"/>
      <c r="K47" s="160"/>
      <c r="L47" s="160"/>
    </row>
    <row r="48" spans="1:12" ht="79.95" customHeight="1">
      <c r="A48" s="48" t="s">
        <v>405</v>
      </c>
      <c r="B48" s="64" t="s">
        <v>435</v>
      </c>
      <c r="C48" s="174" t="s">
        <v>461</v>
      </c>
      <c r="D48" s="160"/>
      <c r="E48" s="160"/>
      <c r="F48" s="160"/>
      <c r="G48" s="160"/>
      <c r="H48" s="160" t="s">
        <v>460</v>
      </c>
      <c r="I48" s="160"/>
      <c r="J48" s="160"/>
      <c r="K48" s="160"/>
      <c r="L48" s="160"/>
    </row>
    <row r="49" spans="1:12" ht="40.049999999999997" customHeight="1">
      <c r="A49" s="48" t="s">
        <v>406</v>
      </c>
      <c r="B49" s="64" t="s">
        <v>430</v>
      </c>
      <c r="C49" s="176" t="s">
        <v>472</v>
      </c>
      <c r="D49" s="177"/>
      <c r="E49" s="177"/>
      <c r="F49" s="177"/>
      <c r="G49" s="177"/>
      <c r="H49" s="160" t="s">
        <v>471</v>
      </c>
      <c r="I49" s="160"/>
      <c r="J49" s="160"/>
      <c r="K49" s="160"/>
      <c r="L49" s="160"/>
    </row>
    <row r="50" spans="1:12" ht="79.95" customHeight="1">
      <c r="A50" s="48" t="s">
        <v>407</v>
      </c>
      <c r="B50" s="64" t="s">
        <v>431</v>
      </c>
      <c r="C50" s="174" t="s">
        <v>479</v>
      </c>
      <c r="D50" s="160"/>
      <c r="E50" s="160"/>
      <c r="F50" s="160"/>
      <c r="G50" s="160"/>
      <c r="H50" s="160" t="s">
        <v>480</v>
      </c>
      <c r="I50" s="160"/>
      <c r="J50" s="160"/>
      <c r="K50" s="160"/>
      <c r="L50" s="160"/>
    </row>
    <row r="51" spans="1:12" ht="49.95" customHeight="1">
      <c r="A51" s="48" t="s">
        <v>408</v>
      </c>
      <c r="B51" s="64" t="s">
        <v>432</v>
      </c>
      <c r="C51" s="174" t="s">
        <v>483</v>
      </c>
      <c r="D51" s="160"/>
      <c r="E51" s="160"/>
      <c r="F51" s="160"/>
      <c r="G51" s="160"/>
      <c r="H51" s="160" t="s">
        <v>486</v>
      </c>
      <c r="I51" s="160"/>
      <c r="J51" s="160"/>
      <c r="K51" s="160"/>
      <c r="L51" s="160"/>
    </row>
    <row r="52" spans="1:12" ht="49.95" customHeight="1">
      <c r="A52" s="48" t="s">
        <v>409</v>
      </c>
      <c r="B52" s="64" t="s">
        <v>433</v>
      </c>
      <c r="C52" s="174" t="s">
        <v>484</v>
      </c>
      <c r="D52" s="160"/>
      <c r="E52" s="160"/>
      <c r="F52" s="160"/>
      <c r="G52" s="160"/>
      <c r="H52" s="160" t="s">
        <v>485</v>
      </c>
      <c r="I52" s="160"/>
      <c r="J52" s="160"/>
      <c r="K52" s="160"/>
      <c r="L52" s="160"/>
    </row>
    <row r="53" spans="1:12" ht="60" customHeight="1">
      <c r="A53" s="48" t="s">
        <v>410</v>
      </c>
      <c r="B53" s="64" t="s">
        <v>434</v>
      </c>
      <c r="C53" s="174" t="s">
        <v>484</v>
      </c>
      <c r="D53" s="160"/>
      <c r="E53" s="160"/>
      <c r="F53" s="160"/>
      <c r="G53" s="160"/>
      <c r="H53" s="160" t="s">
        <v>485</v>
      </c>
      <c r="I53" s="160"/>
      <c r="J53" s="160"/>
      <c r="K53" s="160"/>
      <c r="L53" s="160"/>
    </row>
    <row r="54" spans="1:12" ht="30" customHeight="1">
      <c r="C54" s="132"/>
      <c r="D54" s="132"/>
      <c r="E54" s="132"/>
      <c r="F54" s="132"/>
      <c r="G54" s="132"/>
      <c r="H54" s="132"/>
      <c r="I54" s="132"/>
      <c r="J54" s="132"/>
      <c r="K54" s="132"/>
      <c r="L54" s="132"/>
    </row>
    <row r="55" spans="1:12" ht="30" customHeight="1">
      <c r="A55" s="28" t="s">
        <v>62</v>
      </c>
      <c r="C55" s="132"/>
      <c r="D55" s="132"/>
      <c r="E55" s="132"/>
      <c r="F55" s="132"/>
      <c r="G55" s="132"/>
      <c r="H55" s="132"/>
      <c r="I55" s="132"/>
      <c r="J55" s="132"/>
      <c r="K55" s="132"/>
      <c r="L55" s="132"/>
    </row>
    <row r="56" spans="1:12" s="39" customFormat="1" ht="34.950000000000003" customHeight="1">
      <c r="B56" s="62" t="s">
        <v>487</v>
      </c>
      <c r="C56" s="171" t="s">
        <v>489</v>
      </c>
      <c r="D56" s="172"/>
      <c r="E56" s="172"/>
      <c r="F56" s="172"/>
      <c r="G56" s="172"/>
      <c r="H56" s="172"/>
      <c r="I56" s="172"/>
      <c r="J56" s="172"/>
      <c r="K56" s="172"/>
      <c r="L56" s="173"/>
    </row>
    <row r="57" spans="1:12" s="56" customFormat="1" ht="30" customHeight="1">
      <c r="B57" s="62" t="s">
        <v>488</v>
      </c>
      <c r="C57" s="171" t="s">
        <v>491</v>
      </c>
      <c r="D57" s="172"/>
      <c r="E57" s="172"/>
      <c r="F57" s="172"/>
      <c r="G57" s="172"/>
      <c r="H57" s="172"/>
      <c r="I57" s="172"/>
      <c r="J57" s="172"/>
      <c r="K57" s="172"/>
      <c r="L57" s="173"/>
    </row>
    <row r="58" spans="1:12" s="16" customFormat="1" ht="16.05" customHeight="1">
      <c r="C58" s="140"/>
      <c r="D58" s="140"/>
      <c r="E58" s="140"/>
      <c r="F58" s="140"/>
      <c r="G58" s="140"/>
      <c r="H58" s="140"/>
      <c r="I58" s="140"/>
      <c r="J58" s="140"/>
      <c r="K58" s="140"/>
      <c r="L58" s="140"/>
    </row>
    <row r="59" spans="1:12" s="16" customFormat="1" ht="30" customHeight="1">
      <c r="A59" s="28" t="s">
        <v>74</v>
      </c>
      <c r="C59" s="133"/>
      <c r="D59" s="133"/>
      <c r="E59" s="133"/>
      <c r="F59" s="133"/>
      <c r="G59" s="133"/>
      <c r="H59" s="133"/>
      <c r="I59" s="133"/>
      <c r="J59" s="133"/>
      <c r="K59" s="133"/>
      <c r="L59" s="133"/>
    </row>
    <row r="60" spans="1:12" s="16" customFormat="1" ht="19.95" customHeight="1">
      <c r="A60" s="57"/>
      <c r="B60" s="64" t="s">
        <v>496</v>
      </c>
      <c r="C60" s="123" t="s">
        <v>497</v>
      </c>
      <c r="D60" s="123"/>
      <c r="E60" s="123"/>
      <c r="F60" s="123"/>
      <c r="G60" s="123"/>
      <c r="H60" s="123"/>
      <c r="I60" s="123"/>
      <c r="J60" s="123"/>
      <c r="K60" s="123"/>
      <c r="L60" s="123"/>
    </row>
    <row r="61" spans="1:12" s="16" customFormat="1" ht="19.95" customHeight="1">
      <c r="A61" s="57"/>
      <c r="B61" s="64" t="s">
        <v>498</v>
      </c>
      <c r="C61" s="123" t="s">
        <v>500</v>
      </c>
      <c r="D61" s="123"/>
      <c r="E61" s="123"/>
      <c r="F61" s="123"/>
      <c r="G61" s="123"/>
      <c r="H61" s="123"/>
      <c r="I61" s="123"/>
      <c r="J61" s="123"/>
      <c r="K61" s="123"/>
      <c r="L61" s="123"/>
    </row>
    <row r="62" spans="1:12" s="16" customFormat="1" ht="19.95" customHeight="1">
      <c r="A62" s="57"/>
      <c r="B62" s="64" t="s">
        <v>499</v>
      </c>
      <c r="C62" s="123" t="s">
        <v>501</v>
      </c>
      <c r="D62" s="123"/>
      <c r="E62" s="123"/>
      <c r="F62" s="123"/>
      <c r="G62" s="123"/>
      <c r="H62" s="123"/>
      <c r="I62" s="123"/>
      <c r="J62" s="123"/>
      <c r="K62" s="123"/>
      <c r="L62" s="123"/>
    </row>
    <row r="63" spans="1:12" ht="19.95" customHeight="1">
      <c r="B63" s="62" t="s">
        <v>502</v>
      </c>
      <c r="C63" s="123" t="s">
        <v>503</v>
      </c>
      <c r="D63" s="123"/>
      <c r="E63" s="123"/>
      <c r="F63" s="123"/>
      <c r="G63" s="123"/>
      <c r="H63" s="123"/>
      <c r="I63" s="123"/>
      <c r="J63" s="123"/>
      <c r="K63" s="123"/>
      <c r="L63" s="123"/>
    </row>
    <row r="64" spans="1:12">
      <c r="C64" s="132"/>
      <c r="D64" s="132"/>
      <c r="E64" s="132"/>
      <c r="F64" s="132"/>
      <c r="G64" s="132"/>
      <c r="H64" s="132"/>
      <c r="I64" s="132"/>
      <c r="J64" s="132"/>
      <c r="K64" s="132"/>
      <c r="L64" s="132"/>
    </row>
    <row r="65" spans="1:13" s="16" customFormat="1" ht="30" customHeight="1">
      <c r="A65" s="28" t="s">
        <v>81</v>
      </c>
      <c r="C65" s="133"/>
      <c r="D65" s="133"/>
      <c r="E65" s="133"/>
      <c r="F65" s="133"/>
      <c r="G65" s="133"/>
      <c r="H65" s="133"/>
      <c r="I65" s="133"/>
      <c r="J65" s="133"/>
      <c r="K65" s="133"/>
      <c r="L65" s="133"/>
    </row>
    <row r="66" spans="1:13" ht="34.950000000000003" customHeight="1">
      <c r="B66" s="61" t="s">
        <v>492</v>
      </c>
      <c r="C66" s="178" t="s">
        <v>493</v>
      </c>
      <c r="D66" s="178"/>
      <c r="E66" s="178"/>
      <c r="F66" s="178"/>
      <c r="G66" s="178"/>
      <c r="H66" s="178"/>
      <c r="I66" s="178"/>
      <c r="J66" s="178"/>
      <c r="K66" s="178"/>
      <c r="L66" s="178"/>
      <c r="M66" s="35"/>
    </row>
    <row r="67" spans="1:13" s="39" customFormat="1" ht="34.950000000000003" customHeight="1">
      <c r="A67" s="37"/>
      <c r="B67" s="61" t="s">
        <v>86</v>
      </c>
      <c r="C67" s="160" t="s">
        <v>494</v>
      </c>
      <c r="D67" s="160"/>
      <c r="E67" s="160"/>
      <c r="F67" s="160"/>
      <c r="G67" s="160"/>
      <c r="H67" s="160"/>
      <c r="I67" s="160"/>
      <c r="J67" s="160"/>
      <c r="K67" s="160"/>
      <c r="L67" s="160"/>
      <c r="M67"/>
    </row>
    <row r="68" spans="1:13" s="71" customFormat="1" ht="49.95" customHeight="1">
      <c r="A68" s="69"/>
      <c r="B68" s="61" t="s">
        <v>80</v>
      </c>
      <c r="C68" s="160" t="s">
        <v>495</v>
      </c>
      <c r="D68" s="160"/>
      <c r="E68" s="160"/>
      <c r="F68" s="160"/>
      <c r="G68" s="160"/>
      <c r="H68" s="160"/>
      <c r="I68" s="160"/>
      <c r="J68" s="160"/>
      <c r="K68" s="160"/>
      <c r="L68" s="160"/>
      <c r="M68" s="70"/>
    </row>
    <row r="69" spans="1:13" ht="15.6">
      <c r="A69" s="35"/>
      <c r="C69" s="141"/>
      <c r="D69" s="141"/>
      <c r="E69" s="141"/>
      <c r="F69" s="141"/>
      <c r="G69" s="141"/>
      <c r="H69" s="141"/>
      <c r="I69" s="141"/>
      <c r="J69" s="141"/>
      <c r="K69" s="141"/>
      <c r="L69" s="141"/>
      <c r="M69"/>
    </row>
    <row r="70" spans="1:13" ht="15.6">
      <c r="A70" s="28" t="s">
        <v>88</v>
      </c>
      <c r="B70" s="16"/>
      <c r="C70" s="133"/>
      <c r="D70" s="133"/>
      <c r="E70" s="133"/>
      <c r="F70" s="133"/>
      <c r="G70" s="133"/>
      <c r="H70" s="133"/>
      <c r="I70" s="133"/>
      <c r="J70" s="133"/>
      <c r="K70" s="133"/>
      <c r="L70" s="133"/>
      <c r="M70" s="35"/>
    </row>
    <row r="71" spans="1:13" ht="60" customHeight="1">
      <c r="B71" s="62" t="s">
        <v>482</v>
      </c>
      <c r="C71" s="171" t="s">
        <v>481</v>
      </c>
      <c r="D71" s="172"/>
      <c r="E71" s="172"/>
      <c r="F71" s="172"/>
      <c r="G71" s="172"/>
      <c r="H71" s="172"/>
      <c r="I71" s="172"/>
      <c r="J71" s="172"/>
      <c r="K71" s="172"/>
      <c r="L71" s="173"/>
    </row>
    <row r="74" spans="1:13">
      <c r="C74" s="200">
        <f>D9/(C22+C23+C24)</f>
        <v>0.76923076923076927</v>
      </c>
    </row>
  </sheetData>
  <mergeCells count="49">
    <mergeCell ref="C70:G70"/>
    <mergeCell ref="H70:L70"/>
    <mergeCell ref="C71:L71"/>
    <mergeCell ref="C65:G65"/>
    <mergeCell ref="H65:L65"/>
    <mergeCell ref="C66:L66"/>
    <mergeCell ref="C67:L67"/>
    <mergeCell ref="C68:L68"/>
    <mergeCell ref="C69:G69"/>
    <mergeCell ref="H69:L69"/>
    <mergeCell ref="C59:G59"/>
    <mergeCell ref="H59:L59"/>
    <mergeCell ref="C64:G64"/>
    <mergeCell ref="H64:L64"/>
    <mergeCell ref="C62:L62"/>
    <mergeCell ref="C63:L63"/>
    <mergeCell ref="C61:L61"/>
    <mergeCell ref="C60:L60"/>
    <mergeCell ref="C58:G58"/>
    <mergeCell ref="H58:L58"/>
    <mergeCell ref="C56:L56"/>
    <mergeCell ref="C57:L57"/>
    <mergeCell ref="C53:G53"/>
    <mergeCell ref="H53:L53"/>
    <mergeCell ref="C54:G54"/>
    <mergeCell ref="H54:L54"/>
    <mergeCell ref="C55:G55"/>
    <mergeCell ref="H55:L55"/>
    <mergeCell ref="C50:G50"/>
    <mergeCell ref="H50:L50"/>
    <mergeCell ref="C51:G51"/>
    <mergeCell ref="H51:L51"/>
    <mergeCell ref="C52:G52"/>
    <mergeCell ref="H52:L52"/>
    <mergeCell ref="C47:G47"/>
    <mergeCell ref="H47:L47"/>
    <mergeCell ref="C48:G48"/>
    <mergeCell ref="H48:L48"/>
    <mergeCell ref="C49:G49"/>
    <mergeCell ref="H49:L49"/>
    <mergeCell ref="C46:G46"/>
    <mergeCell ref="H46:L46"/>
    <mergeCell ref="C4:L4"/>
    <mergeCell ref="A8:B8"/>
    <mergeCell ref="A11:B11"/>
    <mergeCell ref="C45:G45"/>
    <mergeCell ref="H45:L45"/>
    <mergeCell ref="A4:B5"/>
    <mergeCell ref="D6:L6"/>
  </mergeCells>
  <pageMargins left="0.47244094488188981" right="0.47244094488188981" top="0.98425196850393704" bottom="0.98425196850393704" header="0.31496062992125984" footer="0.31496062992125984"/>
  <pageSetup paperSize="9" scale="68" orientation="landscape" horizontalDpi="180" verticalDpi="180" r:id="rId1"/>
  <rowBreaks count="1" manualBreakCount="1">
    <brk id="37" max="16383" man="1"/>
  </rowBreaks>
  <ignoredErrors>
    <ignoredError sqref="E7" twoDigitTextYear="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sheetPr codeName="Лист3"/>
  <dimension ref="A1:N45"/>
  <sheetViews>
    <sheetView workbookViewId="0">
      <selection activeCell="D10" sqref="D10"/>
    </sheetView>
  </sheetViews>
  <sheetFormatPr defaultRowHeight="15"/>
  <cols>
    <col min="1" max="1" width="6.77734375" style="72" customWidth="1"/>
    <col min="2" max="2" width="10.77734375" style="72" customWidth="1"/>
    <col min="3" max="3" width="61.77734375" style="72" customWidth="1"/>
    <col min="4" max="13" width="10.77734375" style="72" customWidth="1"/>
    <col min="14" max="16384" width="8.88671875" style="72"/>
  </cols>
  <sheetData>
    <row r="1" spans="1:14" ht="28.05" customHeight="1">
      <c r="D1" s="33" t="s">
        <v>72</v>
      </c>
      <c r="E1" s="34"/>
      <c r="F1" s="34"/>
      <c r="G1" s="34"/>
      <c r="H1" s="34"/>
      <c r="J1" s="33" t="s">
        <v>73</v>
      </c>
      <c r="K1" s="34"/>
      <c r="L1" s="34"/>
      <c r="M1" s="34"/>
    </row>
    <row r="2" spans="1:14" ht="28.05" customHeight="1">
      <c r="D2" s="33"/>
      <c r="E2" s="16"/>
      <c r="F2" s="16"/>
      <c r="G2" s="16"/>
      <c r="H2" s="16"/>
      <c r="J2" s="33"/>
      <c r="K2" s="16"/>
      <c r="L2" s="16"/>
      <c r="M2" s="16"/>
    </row>
    <row r="4" spans="1:14" s="66" customFormat="1" ht="19.95" customHeight="1">
      <c r="B4" s="179"/>
      <c r="C4" s="179"/>
      <c r="D4" s="175" t="s">
        <v>506</v>
      </c>
      <c r="E4" s="175"/>
      <c r="F4" s="175"/>
      <c r="G4" s="175"/>
      <c r="H4" s="175"/>
      <c r="I4" s="175"/>
      <c r="J4" s="175"/>
      <c r="K4" s="175"/>
      <c r="L4" s="175"/>
      <c r="M4" s="175"/>
    </row>
    <row r="5" spans="1:14" ht="19.95" customHeight="1">
      <c r="B5" s="179"/>
      <c r="C5" s="179"/>
    </row>
    <row r="6" spans="1:14" s="73" customFormat="1" ht="30" customHeight="1">
      <c r="B6" s="77" t="s">
        <v>2</v>
      </c>
      <c r="C6" s="10" t="s">
        <v>3</v>
      </c>
      <c r="D6" s="6" t="s">
        <v>10</v>
      </c>
      <c r="E6" s="121" t="s">
        <v>4</v>
      </c>
      <c r="F6" s="121"/>
      <c r="G6" s="121"/>
      <c r="H6" s="121"/>
      <c r="I6" s="121"/>
      <c r="J6" s="121"/>
      <c r="K6" s="121"/>
      <c r="L6" s="121"/>
      <c r="M6" s="121"/>
      <c r="N6" s="5"/>
    </row>
    <row r="7" spans="1:14" ht="16.2" thickBot="1">
      <c r="D7" s="91" t="s">
        <v>5</v>
      </c>
      <c r="E7" s="92" t="s">
        <v>6</v>
      </c>
      <c r="F7" s="91" t="s">
        <v>7</v>
      </c>
      <c r="G7" s="92" t="s">
        <v>8</v>
      </c>
      <c r="H7" s="91" t="s">
        <v>9</v>
      </c>
      <c r="I7" s="92" t="s">
        <v>11</v>
      </c>
      <c r="J7" s="91" t="s">
        <v>12</v>
      </c>
      <c r="K7" s="92" t="s">
        <v>13</v>
      </c>
      <c r="L7" s="91" t="s">
        <v>14</v>
      </c>
      <c r="M7" s="92" t="s">
        <v>15</v>
      </c>
    </row>
    <row r="8" spans="1:14" ht="16.05" customHeight="1">
      <c r="A8" s="180" t="s">
        <v>507</v>
      </c>
      <c r="B8" s="93" t="s">
        <v>25</v>
      </c>
      <c r="C8" s="94" t="s">
        <v>52</v>
      </c>
      <c r="D8" s="95"/>
      <c r="E8" s="96"/>
      <c r="F8" s="95"/>
      <c r="G8" s="95"/>
      <c r="H8" s="95"/>
      <c r="I8" s="95"/>
      <c r="J8" s="95"/>
      <c r="K8" s="95"/>
      <c r="L8" s="95"/>
      <c r="M8" s="97"/>
    </row>
    <row r="9" spans="1:14" ht="16.05" customHeight="1">
      <c r="A9" s="181"/>
      <c r="B9" s="8" t="s">
        <v>26</v>
      </c>
      <c r="C9" s="9" t="s">
        <v>55</v>
      </c>
      <c r="D9" s="11"/>
      <c r="E9" s="22"/>
      <c r="F9" s="11"/>
      <c r="G9" s="11"/>
      <c r="H9" s="11"/>
      <c r="I9" s="11"/>
      <c r="J9" s="11"/>
      <c r="K9" s="11"/>
      <c r="L9" s="11"/>
      <c r="M9" s="98"/>
    </row>
    <row r="10" spans="1:14" ht="16.05" customHeight="1" thickBot="1">
      <c r="A10" s="182"/>
      <c r="B10" s="99" t="s">
        <v>42</v>
      </c>
      <c r="C10" s="100" t="s">
        <v>41</v>
      </c>
      <c r="D10" s="101"/>
      <c r="E10" s="102"/>
      <c r="F10" s="101"/>
      <c r="G10" s="101"/>
      <c r="H10" s="101"/>
      <c r="I10" s="101"/>
      <c r="J10" s="101"/>
      <c r="K10" s="101"/>
      <c r="L10" s="101"/>
      <c r="M10" s="103"/>
    </row>
    <row r="11" spans="1:14" ht="16.05" customHeight="1">
      <c r="A11" s="183" t="s">
        <v>508</v>
      </c>
      <c r="B11" s="93" t="s">
        <v>27</v>
      </c>
      <c r="C11" s="94" t="s">
        <v>56</v>
      </c>
      <c r="D11" s="95"/>
      <c r="E11" s="95"/>
      <c r="F11" s="95"/>
      <c r="G11" s="95"/>
      <c r="H11" s="95"/>
      <c r="I11" s="95"/>
      <c r="J11" s="95"/>
      <c r="K11" s="95"/>
      <c r="L11" s="95"/>
      <c r="M11" s="97"/>
    </row>
    <row r="12" spans="1:14" ht="16.05" customHeight="1">
      <c r="A12" s="184"/>
      <c r="B12" s="8" t="s">
        <v>28</v>
      </c>
      <c r="C12" s="9" t="s">
        <v>57</v>
      </c>
      <c r="D12" s="11"/>
      <c r="E12" s="11"/>
      <c r="F12" s="11"/>
      <c r="G12" s="11"/>
      <c r="H12" s="11"/>
      <c r="I12" s="11"/>
      <c r="J12" s="11"/>
      <c r="K12" s="11"/>
      <c r="L12" s="11"/>
      <c r="M12" s="98"/>
    </row>
    <row r="13" spans="1:14" ht="16.05" customHeight="1">
      <c r="A13" s="184"/>
      <c r="B13" s="8" t="s">
        <v>29</v>
      </c>
      <c r="C13" s="9" t="s">
        <v>58</v>
      </c>
      <c r="D13" s="11"/>
      <c r="E13" s="11"/>
      <c r="F13" s="11"/>
      <c r="G13" s="11"/>
      <c r="H13" s="11"/>
      <c r="I13" s="11"/>
      <c r="J13" s="11"/>
      <c r="K13" s="11"/>
      <c r="L13" s="11"/>
      <c r="M13" s="98"/>
    </row>
    <row r="14" spans="1:14" ht="16.05" customHeight="1" thickBot="1">
      <c r="A14" s="185"/>
      <c r="B14" s="99" t="s">
        <v>42</v>
      </c>
      <c r="C14" s="100" t="s">
        <v>43</v>
      </c>
      <c r="D14" s="101"/>
      <c r="E14" s="101"/>
      <c r="F14" s="101"/>
      <c r="G14" s="101"/>
      <c r="H14" s="101"/>
      <c r="I14" s="101"/>
      <c r="J14" s="101"/>
      <c r="K14" s="101"/>
      <c r="L14" s="101"/>
      <c r="M14" s="103"/>
    </row>
    <row r="15" spans="1:14" ht="15.6">
      <c r="A15" s="183" t="s">
        <v>509</v>
      </c>
      <c r="B15" s="93" t="s">
        <v>112</v>
      </c>
      <c r="C15" s="94" t="s">
        <v>158</v>
      </c>
      <c r="D15" s="95"/>
      <c r="E15" s="95"/>
      <c r="F15" s="95"/>
      <c r="G15" s="95"/>
      <c r="H15" s="95"/>
      <c r="I15" s="95"/>
      <c r="J15" s="95"/>
      <c r="K15" s="95"/>
      <c r="L15" s="95"/>
      <c r="M15" s="97"/>
    </row>
    <row r="16" spans="1:14" ht="15.6">
      <c r="A16" s="186"/>
      <c r="B16" s="8" t="s">
        <v>113</v>
      </c>
      <c r="C16" s="9" t="s">
        <v>154</v>
      </c>
      <c r="D16" s="11"/>
      <c r="E16" s="11"/>
      <c r="F16" s="11"/>
      <c r="G16" s="11"/>
      <c r="H16" s="11"/>
      <c r="I16" s="11"/>
      <c r="J16" s="11"/>
      <c r="K16" s="11"/>
      <c r="L16" s="11"/>
      <c r="M16" s="98"/>
    </row>
    <row r="17" spans="1:13" ht="15.6">
      <c r="A17" s="186"/>
      <c r="B17" s="8" t="s">
        <v>114</v>
      </c>
      <c r="C17" s="9" t="s">
        <v>156</v>
      </c>
      <c r="D17" s="11"/>
      <c r="E17" s="11"/>
      <c r="F17" s="11"/>
      <c r="G17" s="11"/>
      <c r="H17" s="11"/>
      <c r="I17" s="11"/>
      <c r="J17" s="11"/>
      <c r="K17" s="11"/>
      <c r="L17" s="11"/>
      <c r="M17" s="98"/>
    </row>
    <row r="18" spans="1:13" ht="15.6">
      <c r="A18" s="186"/>
      <c r="B18" s="8" t="s">
        <v>115</v>
      </c>
      <c r="C18" s="9" t="s">
        <v>157</v>
      </c>
      <c r="D18" s="11"/>
      <c r="E18" s="11"/>
      <c r="F18" s="11"/>
      <c r="G18" s="11"/>
      <c r="H18" s="11"/>
      <c r="I18" s="11"/>
      <c r="J18" s="11"/>
      <c r="K18" s="11"/>
      <c r="L18" s="11"/>
      <c r="M18" s="98"/>
    </row>
    <row r="19" spans="1:13" ht="16.2" thickBot="1">
      <c r="A19" s="187"/>
      <c r="B19" s="99" t="s">
        <v>42</v>
      </c>
      <c r="C19" s="100" t="s">
        <v>116</v>
      </c>
      <c r="D19" s="101"/>
      <c r="E19" s="101"/>
      <c r="F19" s="101"/>
      <c r="G19" s="101"/>
      <c r="H19" s="101"/>
      <c r="I19" s="101"/>
      <c r="J19" s="101"/>
      <c r="K19" s="101"/>
      <c r="L19" s="101"/>
      <c r="M19" s="103"/>
    </row>
    <row r="20" spans="1:13" ht="15.6">
      <c r="A20" s="180" t="s">
        <v>510</v>
      </c>
      <c r="B20" s="93" t="s">
        <v>119</v>
      </c>
      <c r="C20" s="94" t="s">
        <v>159</v>
      </c>
      <c r="D20" s="95"/>
      <c r="E20" s="95"/>
      <c r="F20" s="95"/>
      <c r="G20" s="95"/>
      <c r="H20" s="95"/>
      <c r="I20" s="95"/>
      <c r="J20" s="95"/>
      <c r="K20" s="95"/>
      <c r="L20" s="95"/>
      <c r="M20" s="97"/>
    </row>
    <row r="21" spans="1:13" ht="15.6">
      <c r="A21" s="181"/>
      <c r="B21" s="8" t="s">
        <v>120</v>
      </c>
      <c r="C21" s="9" t="s">
        <v>160</v>
      </c>
      <c r="D21" s="11"/>
      <c r="E21" s="11"/>
      <c r="F21" s="11"/>
      <c r="G21" s="11"/>
      <c r="H21" s="11"/>
      <c r="I21" s="11"/>
      <c r="J21" s="11"/>
      <c r="K21" s="11"/>
      <c r="L21" s="11"/>
      <c r="M21" s="98"/>
    </row>
    <row r="22" spans="1:13" ht="16.2" thickBot="1">
      <c r="A22" s="182"/>
      <c r="B22" s="99" t="s">
        <v>42</v>
      </c>
      <c r="C22" s="100" t="s">
        <v>122</v>
      </c>
      <c r="D22" s="101"/>
      <c r="E22" s="101"/>
      <c r="F22" s="101"/>
      <c r="G22" s="101"/>
      <c r="H22" s="101"/>
      <c r="I22" s="101"/>
      <c r="J22" s="101"/>
      <c r="K22" s="101"/>
      <c r="L22" s="101"/>
      <c r="M22" s="103"/>
    </row>
    <row r="23" spans="1:13" ht="15.6">
      <c r="A23" s="188" t="s">
        <v>511</v>
      </c>
      <c r="B23" s="93" t="s">
        <v>121</v>
      </c>
      <c r="C23" s="94" t="s">
        <v>161</v>
      </c>
      <c r="D23" s="95"/>
      <c r="E23" s="95"/>
      <c r="F23" s="95"/>
      <c r="G23" s="95"/>
      <c r="H23" s="95"/>
      <c r="I23" s="95"/>
      <c r="J23" s="95"/>
      <c r="K23" s="95"/>
      <c r="L23" s="95"/>
      <c r="M23" s="97"/>
    </row>
    <row r="24" spans="1:13" ht="15.6">
      <c r="A24" s="189"/>
      <c r="B24" s="8" t="s">
        <v>125</v>
      </c>
      <c r="C24" s="9" t="s">
        <v>162</v>
      </c>
      <c r="D24" s="11"/>
      <c r="E24" s="11"/>
      <c r="F24" s="11"/>
      <c r="G24" s="11"/>
      <c r="H24" s="11"/>
      <c r="I24" s="11"/>
      <c r="J24" s="11"/>
      <c r="K24" s="11"/>
      <c r="L24" s="11"/>
      <c r="M24" s="98"/>
    </row>
    <row r="25" spans="1:13" ht="15.6">
      <c r="A25" s="189"/>
      <c r="B25" s="8" t="s">
        <v>255</v>
      </c>
      <c r="C25" s="9" t="s">
        <v>269</v>
      </c>
      <c r="D25" s="11"/>
      <c r="E25" s="11"/>
      <c r="F25" s="11"/>
      <c r="G25" s="11"/>
      <c r="H25" s="11"/>
      <c r="I25" s="11"/>
      <c r="J25" s="11"/>
      <c r="K25" s="11"/>
      <c r="L25" s="11"/>
      <c r="M25" s="98"/>
    </row>
    <row r="26" spans="1:13" ht="15.6">
      <c r="A26" s="189"/>
      <c r="B26" s="8" t="s">
        <v>256</v>
      </c>
      <c r="C26" s="9" t="s">
        <v>270</v>
      </c>
      <c r="D26" s="11"/>
      <c r="E26" s="11"/>
      <c r="F26" s="11"/>
      <c r="G26" s="11"/>
      <c r="H26" s="11"/>
      <c r="I26" s="11"/>
      <c r="J26" s="11"/>
      <c r="K26" s="11"/>
      <c r="L26" s="11"/>
      <c r="M26" s="98"/>
    </row>
    <row r="27" spans="1:13" ht="15.6">
      <c r="A27" s="189"/>
      <c r="B27" s="8" t="s">
        <v>285</v>
      </c>
      <c r="C27" s="9" t="s">
        <v>352</v>
      </c>
      <c r="D27" s="11"/>
      <c r="E27" s="11"/>
      <c r="F27" s="11"/>
      <c r="G27" s="11"/>
      <c r="H27" s="11"/>
      <c r="I27" s="11"/>
      <c r="J27" s="11"/>
      <c r="K27" s="11"/>
      <c r="L27" s="11"/>
      <c r="M27" s="98"/>
    </row>
    <row r="28" spans="1:13" ht="15.6">
      <c r="A28" s="189"/>
      <c r="B28" s="8" t="s">
        <v>286</v>
      </c>
      <c r="C28" s="9" t="s">
        <v>353</v>
      </c>
      <c r="D28" s="11"/>
      <c r="E28" s="11"/>
      <c r="F28" s="11"/>
      <c r="G28" s="11"/>
      <c r="H28" s="11"/>
      <c r="I28" s="11"/>
      <c r="J28" s="11"/>
      <c r="K28" s="11"/>
      <c r="L28" s="11"/>
      <c r="M28" s="98"/>
    </row>
    <row r="29" spans="1:13" ht="16.2" thickBot="1">
      <c r="A29" s="190"/>
      <c r="B29" s="99" t="s">
        <v>42</v>
      </c>
      <c r="C29" s="100" t="s">
        <v>535</v>
      </c>
      <c r="D29" s="101"/>
      <c r="E29" s="101"/>
      <c r="F29" s="101"/>
      <c r="G29" s="101"/>
      <c r="H29" s="101"/>
      <c r="I29" s="101"/>
      <c r="J29" s="101"/>
      <c r="K29" s="101"/>
      <c r="L29" s="101"/>
      <c r="M29" s="103"/>
    </row>
    <row r="30" spans="1:13" ht="15.6">
      <c r="A30" s="183" t="s">
        <v>512</v>
      </c>
      <c r="B30" s="93" t="s">
        <v>412</v>
      </c>
      <c r="C30" s="94" t="s">
        <v>436</v>
      </c>
      <c r="D30" s="95"/>
      <c r="E30" s="95"/>
      <c r="F30" s="95"/>
      <c r="G30" s="95"/>
      <c r="H30" s="95"/>
      <c r="I30" s="95"/>
      <c r="J30" s="95"/>
      <c r="K30" s="95"/>
      <c r="L30" s="95"/>
      <c r="M30" s="97"/>
    </row>
    <row r="31" spans="1:13" ht="15.6">
      <c r="A31" s="184"/>
      <c r="B31" s="8" t="s">
        <v>413</v>
      </c>
      <c r="C31" s="9" t="s">
        <v>437</v>
      </c>
      <c r="D31" s="11"/>
      <c r="E31" s="11"/>
      <c r="F31" s="11"/>
      <c r="G31" s="11"/>
      <c r="H31" s="11"/>
      <c r="I31" s="11"/>
      <c r="J31" s="11"/>
      <c r="K31" s="11"/>
      <c r="L31" s="11"/>
      <c r="M31" s="98"/>
    </row>
    <row r="32" spans="1:13" ht="15.6">
      <c r="A32" s="184"/>
      <c r="B32" s="8" t="s">
        <v>414</v>
      </c>
      <c r="C32" s="9" t="s">
        <v>438</v>
      </c>
      <c r="D32" s="11"/>
      <c r="E32" s="11"/>
      <c r="F32" s="11"/>
      <c r="G32" s="11"/>
      <c r="H32" s="11"/>
      <c r="I32" s="11"/>
      <c r="J32" s="11"/>
      <c r="K32" s="11"/>
      <c r="L32" s="11"/>
      <c r="M32" s="98"/>
    </row>
    <row r="33" spans="1:13" ht="16.2" thickBot="1">
      <c r="A33" s="185"/>
      <c r="B33" s="104" t="s">
        <v>415</v>
      </c>
      <c r="C33" s="100" t="s">
        <v>439</v>
      </c>
      <c r="D33" s="105"/>
      <c r="E33" s="105"/>
      <c r="F33" s="105"/>
      <c r="G33" s="105"/>
      <c r="H33" s="105"/>
      <c r="I33" s="105"/>
      <c r="J33" s="105"/>
      <c r="K33" s="105"/>
      <c r="L33" s="105"/>
      <c r="M33" s="106"/>
    </row>
    <row r="34" spans="1:13" ht="16.2" thickBot="1">
      <c r="A34" s="107" t="s">
        <v>513</v>
      </c>
      <c r="B34" s="108" t="s">
        <v>417</v>
      </c>
      <c r="C34" s="109" t="s">
        <v>514</v>
      </c>
      <c r="D34" s="110"/>
      <c r="E34" s="110"/>
      <c r="F34" s="110"/>
      <c r="G34" s="110"/>
      <c r="H34" s="110"/>
      <c r="I34" s="110"/>
      <c r="J34" s="110"/>
      <c r="K34" s="110"/>
      <c r="L34" s="110"/>
      <c r="M34" s="111"/>
    </row>
    <row r="35" spans="1:13" ht="16.2" thickBot="1">
      <c r="A35" s="107" t="s">
        <v>515</v>
      </c>
      <c r="B35" s="108" t="s">
        <v>422</v>
      </c>
      <c r="C35" s="109" t="s">
        <v>440</v>
      </c>
      <c r="D35" s="110"/>
      <c r="E35" s="110"/>
      <c r="F35" s="110"/>
      <c r="G35" s="110"/>
      <c r="H35" s="110"/>
      <c r="I35" s="110"/>
      <c r="J35" s="110"/>
      <c r="K35" s="110"/>
      <c r="L35" s="110"/>
      <c r="M35" s="111"/>
    </row>
    <row r="36" spans="1:13" ht="30">
      <c r="A36" s="180" t="s">
        <v>516</v>
      </c>
      <c r="B36" s="112" t="s">
        <v>425</v>
      </c>
      <c r="C36" s="113" t="s">
        <v>517</v>
      </c>
      <c r="D36" s="114"/>
      <c r="E36" s="114"/>
      <c r="F36" s="114"/>
      <c r="G36" s="114"/>
      <c r="H36" s="114"/>
      <c r="I36" s="114"/>
      <c r="J36" s="114"/>
      <c r="K36" s="114"/>
      <c r="L36" s="114"/>
      <c r="M36" s="115"/>
    </row>
    <row r="37" spans="1:13" ht="15.6">
      <c r="A37" s="181"/>
      <c r="B37" s="8" t="s">
        <v>426</v>
      </c>
      <c r="C37" s="9" t="s">
        <v>441</v>
      </c>
      <c r="D37" s="11"/>
      <c r="E37" s="11"/>
      <c r="F37" s="11"/>
      <c r="G37" s="11"/>
      <c r="H37" s="11"/>
      <c r="I37" s="11"/>
      <c r="J37" s="11"/>
      <c r="K37" s="11"/>
      <c r="L37" s="11"/>
      <c r="M37" s="98"/>
    </row>
    <row r="38" spans="1:13" ht="15.6">
      <c r="A38" s="181"/>
      <c r="B38" s="8" t="s">
        <v>427</v>
      </c>
      <c r="C38" s="9" t="s">
        <v>442</v>
      </c>
      <c r="D38" s="11"/>
      <c r="E38" s="11"/>
      <c r="F38" s="11"/>
      <c r="G38" s="11"/>
      <c r="H38" s="11"/>
      <c r="I38" s="11"/>
      <c r="J38" s="11"/>
      <c r="K38" s="11"/>
      <c r="L38" s="11"/>
      <c r="M38" s="98"/>
    </row>
    <row r="39" spans="1:13" ht="15.6">
      <c r="A39" s="181"/>
      <c r="B39" s="8" t="s">
        <v>428</v>
      </c>
      <c r="C39" s="9" t="s">
        <v>443</v>
      </c>
      <c r="D39" s="11"/>
      <c r="E39" s="11"/>
      <c r="F39" s="11"/>
      <c r="G39" s="11"/>
      <c r="H39" s="11"/>
      <c r="I39" s="11"/>
      <c r="J39" s="11"/>
      <c r="K39" s="11"/>
      <c r="L39" s="11"/>
      <c r="M39" s="98"/>
    </row>
    <row r="40" spans="1:13" ht="16.2" thickBot="1">
      <c r="A40" s="182"/>
      <c r="B40" s="99" t="s">
        <v>42</v>
      </c>
      <c r="C40" s="100" t="s">
        <v>518</v>
      </c>
      <c r="D40" s="101"/>
      <c r="E40" s="101"/>
      <c r="F40" s="101"/>
      <c r="G40" s="101"/>
      <c r="H40" s="101"/>
      <c r="I40" s="101"/>
      <c r="J40" s="101"/>
      <c r="K40" s="101"/>
      <c r="L40" s="101"/>
      <c r="M40" s="103"/>
    </row>
    <row r="41" spans="1:13" ht="15.6">
      <c r="A41" s="76"/>
      <c r="B41" s="75"/>
      <c r="C41" s="16"/>
      <c r="D41" s="78"/>
      <c r="E41" s="78"/>
      <c r="F41" s="78"/>
      <c r="G41" s="78"/>
      <c r="H41" s="78"/>
      <c r="I41" s="78"/>
      <c r="J41" s="78"/>
      <c r="K41" s="78"/>
      <c r="L41" s="78"/>
      <c r="M41" s="78"/>
    </row>
    <row r="42" spans="1:13" ht="15.6">
      <c r="A42" s="76"/>
      <c r="B42" s="75"/>
      <c r="C42" s="16"/>
      <c r="D42" s="78"/>
      <c r="E42" s="78"/>
      <c r="F42" s="78"/>
      <c r="G42" s="78"/>
      <c r="H42" s="78"/>
      <c r="I42" s="78"/>
      <c r="J42" s="78"/>
      <c r="K42" s="78"/>
      <c r="L42" s="78"/>
      <c r="M42" s="78"/>
    </row>
    <row r="43" spans="1:13" ht="15.6" customHeight="1"/>
    <row r="44" spans="1:13" ht="18.600000000000001">
      <c r="B44" s="73" t="s">
        <v>35</v>
      </c>
      <c r="D44" s="72" t="s">
        <v>44</v>
      </c>
      <c r="E44" s="72" t="s">
        <v>46</v>
      </c>
      <c r="H44" s="72" t="s">
        <v>70</v>
      </c>
    </row>
    <row r="45" spans="1:13" ht="18.600000000000001">
      <c r="D45" s="72" t="s">
        <v>47</v>
      </c>
      <c r="E45" s="72" t="s">
        <v>48</v>
      </c>
      <c r="H45" s="72" t="s">
        <v>67</v>
      </c>
    </row>
  </sheetData>
  <mergeCells count="10">
    <mergeCell ref="A36:A40"/>
    <mergeCell ref="A11:A14"/>
    <mergeCell ref="A15:A19"/>
    <mergeCell ref="A20:A22"/>
    <mergeCell ref="A23:A29"/>
    <mergeCell ref="B4:C5"/>
    <mergeCell ref="D4:M4"/>
    <mergeCell ref="A8:A10"/>
    <mergeCell ref="E6:M6"/>
    <mergeCell ref="A30:A33"/>
  </mergeCells>
  <pageMargins left="0.70866141732283472" right="0.70866141732283472" top="0.55118110236220474" bottom="0.55118110236220474" header="0.31496062992125984" footer="0.31496062992125984"/>
  <pageSetup paperSize="9" scale="68" orientation="landscape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L28"/>
  <sheetViews>
    <sheetView tabSelected="1" topLeftCell="A17" zoomScale="90" zoomScaleNormal="90" workbookViewId="0">
      <selection activeCell="G31" sqref="G31"/>
    </sheetView>
  </sheetViews>
  <sheetFormatPr defaultRowHeight="15.6"/>
  <cols>
    <col min="1" max="1" width="20.77734375" style="41" customWidth="1"/>
    <col min="2" max="2" width="61.77734375" style="27" customWidth="1"/>
    <col min="3" max="3" width="10.77734375" style="26" customWidth="1"/>
    <col min="4" max="4" width="9.109375" style="26" bestFit="1" customWidth="1"/>
    <col min="5" max="16384" width="8.88671875" style="26"/>
  </cols>
  <sheetData>
    <row r="1" spans="1:12" s="72" customFormat="1" ht="17.399999999999999">
      <c r="C1" s="33" t="s">
        <v>72</v>
      </c>
      <c r="D1" s="34"/>
      <c r="E1" s="34"/>
      <c r="F1" s="34"/>
      <c r="G1" s="34"/>
      <c r="I1" s="33" t="s">
        <v>73</v>
      </c>
      <c r="J1" s="34"/>
      <c r="K1" s="34"/>
      <c r="L1" s="34"/>
    </row>
    <row r="2" spans="1:12" s="72" customFormat="1" ht="17.399999999999999">
      <c r="C2" s="33"/>
      <c r="D2" s="16"/>
      <c r="E2" s="16"/>
      <c r="F2" s="16"/>
      <c r="G2" s="16"/>
      <c r="I2" s="33"/>
      <c r="J2" s="16"/>
      <c r="K2" s="16"/>
      <c r="L2" s="16"/>
    </row>
    <row r="3" spans="1:12" s="72" customFormat="1" ht="15"/>
    <row r="4" spans="1:12" s="72" customFormat="1" ht="21" customHeight="1">
      <c r="A4" s="179"/>
      <c r="B4" s="179"/>
      <c r="C4" s="175" t="s">
        <v>519</v>
      </c>
      <c r="D4" s="175"/>
      <c r="E4" s="175"/>
      <c r="F4" s="175"/>
      <c r="G4" s="175"/>
      <c r="H4" s="175"/>
      <c r="I4" s="175"/>
      <c r="J4" s="175"/>
      <c r="K4" s="175"/>
      <c r="L4" s="175"/>
    </row>
    <row r="5" spans="1:12" s="72" customFormat="1" ht="15" customHeight="1">
      <c r="A5" s="179"/>
      <c r="B5" s="179"/>
    </row>
    <row r="6" spans="1:12" s="72" customFormat="1" ht="31.2">
      <c r="A6" s="77" t="s">
        <v>2</v>
      </c>
      <c r="B6" s="10" t="s">
        <v>3</v>
      </c>
      <c r="C6" s="6" t="s">
        <v>10</v>
      </c>
      <c r="D6" s="121" t="s">
        <v>4</v>
      </c>
      <c r="E6" s="121"/>
      <c r="F6" s="121"/>
      <c r="G6" s="121"/>
      <c r="H6" s="121"/>
      <c r="I6" s="121"/>
      <c r="J6" s="121"/>
      <c r="K6" s="121"/>
      <c r="L6" s="121"/>
    </row>
    <row r="7" spans="1:12" s="72" customFormat="1">
      <c r="C7" s="20" t="s">
        <v>5</v>
      </c>
      <c r="D7" s="21" t="s">
        <v>6</v>
      </c>
      <c r="E7" s="20" t="s">
        <v>7</v>
      </c>
      <c r="F7" s="21" t="s">
        <v>8</v>
      </c>
      <c r="G7" s="20" t="s">
        <v>9</v>
      </c>
      <c r="H7" s="21" t="s">
        <v>11</v>
      </c>
      <c r="I7" s="20" t="s">
        <v>12</v>
      </c>
      <c r="J7" s="21" t="s">
        <v>13</v>
      </c>
      <c r="K7" s="20" t="s">
        <v>14</v>
      </c>
      <c r="L7" s="21" t="s">
        <v>15</v>
      </c>
    </row>
    <row r="8" spans="1:12" s="72" customFormat="1">
      <c r="A8" s="81" t="s">
        <v>17</v>
      </c>
      <c r="B8" s="82" t="s">
        <v>529</v>
      </c>
      <c r="C8" s="43">
        <v>200</v>
      </c>
      <c r="D8" s="43">
        <v>220</v>
      </c>
      <c r="E8" s="85"/>
      <c r="F8" s="86"/>
      <c r="G8" s="85"/>
      <c r="H8" s="86"/>
      <c r="I8" s="85"/>
      <c r="J8" s="86"/>
      <c r="K8" s="85"/>
      <c r="L8" s="86"/>
    </row>
    <row r="9" spans="1:12" s="72" customFormat="1">
      <c r="A9" s="87" t="s">
        <v>20</v>
      </c>
      <c r="B9" s="82" t="s">
        <v>38</v>
      </c>
      <c r="C9" s="11">
        <v>2</v>
      </c>
      <c r="D9" s="11">
        <v>2</v>
      </c>
      <c r="E9" s="80"/>
      <c r="F9" s="80"/>
      <c r="G9" s="80"/>
      <c r="H9" s="80"/>
      <c r="I9" s="80"/>
      <c r="J9" s="80"/>
      <c r="K9" s="80"/>
      <c r="L9" s="80"/>
    </row>
    <row r="10" spans="1:12" s="72" customFormat="1">
      <c r="A10" s="87" t="s">
        <v>22</v>
      </c>
      <c r="B10" s="82" t="s">
        <v>134</v>
      </c>
      <c r="C10" s="80">
        <v>2</v>
      </c>
      <c r="D10" s="203">
        <v>2</v>
      </c>
      <c r="E10" s="80"/>
      <c r="F10" s="80"/>
      <c r="G10" s="80"/>
      <c r="H10" s="80"/>
      <c r="I10" s="80"/>
      <c r="J10" s="80"/>
      <c r="K10" s="80"/>
      <c r="L10" s="80"/>
    </row>
    <row r="11" spans="1:12" s="72" customFormat="1" ht="31.95" customHeight="1">
      <c r="A11" s="83" t="s">
        <v>135</v>
      </c>
      <c r="B11" s="79" t="s">
        <v>528</v>
      </c>
      <c r="C11" s="80">
        <f>C10+4*C9</f>
        <v>10</v>
      </c>
      <c r="D11" s="80">
        <f>D10+4*D9</f>
        <v>10</v>
      </c>
      <c r="E11" s="80"/>
      <c r="F11" s="80"/>
      <c r="G11" s="80"/>
      <c r="H11" s="80"/>
      <c r="I11" s="80"/>
      <c r="J11" s="80"/>
      <c r="K11" s="80"/>
      <c r="L11" s="80"/>
    </row>
    <row r="12" spans="1:12" s="72" customFormat="1">
      <c r="A12" s="88" t="s">
        <v>21</v>
      </c>
      <c r="B12" s="90" t="s">
        <v>520</v>
      </c>
      <c r="C12" s="18">
        <v>18</v>
      </c>
      <c r="D12" s="204">
        <v>18.2</v>
      </c>
      <c r="E12" s="18"/>
      <c r="F12" s="18"/>
      <c r="G12" s="18"/>
      <c r="H12" s="18"/>
      <c r="I12" s="18"/>
      <c r="J12" s="18"/>
      <c r="K12" s="18"/>
      <c r="L12" s="18"/>
    </row>
    <row r="13" spans="1:12" s="72" customFormat="1">
      <c r="A13" s="88" t="s">
        <v>24</v>
      </c>
      <c r="B13" s="90" t="s">
        <v>521</v>
      </c>
      <c r="C13" s="18">
        <v>41</v>
      </c>
      <c r="D13" s="204">
        <v>39.200000000000003</v>
      </c>
      <c r="E13" s="18"/>
      <c r="F13" s="18"/>
      <c r="G13" s="18"/>
      <c r="H13" s="18"/>
      <c r="I13" s="18"/>
      <c r="J13" s="18"/>
      <c r="K13" s="18"/>
      <c r="L13" s="18"/>
    </row>
    <row r="14" spans="1:12" s="72" customFormat="1" ht="31.95" customHeight="1">
      <c r="A14" s="83" t="s">
        <v>132</v>
      </c>
      <c r="B14" s="84" t="s">
        <v>524</v>
      </c>
      <c r="C14" s="80">
        <f>(C13-C12)/1000</f>
        <v>2.3E-2</v>
      </c>
      <c r="D14" s="80">
        <f>(D13-D12)/1000</f>
        <v>2.1000000000000005E-2</v>
      </c>
      <c r="E14" s="80"/>
      <c r="F14" s="80"/>
      <c r="G14" s="80"/>
      <c r="H14" s="80"/>
      <c r="I14" s="80"/>
      <c r="J14" s="80"/>
      <c r="K14" s="80"/>
      <c r="L14" s="80"/>
    </row>
    <row r="15" spans="1:12" s="72" customFormat="1">
      <c r="A15" s="81" t="s">
        <v>126</v>
      </c>
      <c r="B15" s="84" t="s">
        <v>127</v>
      </c>
      <c r="C15" s="80">
        <v>0</v>
      </c>
      <c r="D15" s="80">
        <v>1000</v>
      </c>
      <c r="E15" s="80"/>
      <c r="F15" s="80"/>
      <c r="G15" s="80"/>
      <c r="H15" s="80"/>
      <c r="I15" s="80"/>
      <c r="J15" s="80"/>
      <c r="K15" s="80"/>
      <c r="L15" s="80"/>
    </row>
    <row r="16" spans="1:12" s="72" customFormat="1">
      <c r="A16" s="81" t="s">
        <v>129</v>
      </c>
      <c r="B16" s="84" t="s">
        <v>128</v>
      </c>
      <c r="C16" s="80">
        <v>0.69</v>
      </c>
      <c r="D16" s="80">
        <v>0.68799999999999994</v>
      </c>
      <c r="E16" s="80"/>
      <c r="F16" s="80"/>
      <c r="G16" s="80"/>
      <c r="H16" s="80"/>
      <c r="I16" s="80"/>
      <c r="J16" s="80"/>
      <c r="K16" s="80"/>
      <c r="L16" s="80"/>
    </row>
    <row r="17" spans="1:12" s="72" customFormat="1">
      <c r="A17" s="81" t="s">
        <v>101</v>
      </c>
      <c r="B17" s="84" t="s">
        <v>130</v>
      </c>
      <c r="C17" s="80">
        <v>1</v>
      </c>
      <c r="D17" s="80">
        <v>0.64</v>
      </c>
      <c r="E17" s="80"/>
      <c r="F17" s="80"/>
      <c r="G17" s="80"/>
      <c r="H17" s="80"/>
      <c r="I17" s="80"/>
      <c r="J17" s="80"/>
      <c r="K17" s="80"/>
      <c r="L17" s="80"/>
    </row>
    <row r="18" spans="1:12" s="72" customFormat="1">
      <c r="A18" s="88" t="s">
        <v>275</v>
      </c>
      <c r="B18" s="89" t="s">
        <v>523</v>
      </c>
      <c r="C18" s="18">
        <v>800</v>
      </c>
      <c r="D18" s="18">
        <v>840</v>
      </c>
      <c r="E18" s="18"/>
      <c r="F18" s="18"/>
      <c r="G18" s="18"/>
      <c r="H18" s="18"/>
      <c r="I18" s="18"/>
      <c r="J18" s="18"/>
      <c r="K18" s="18"/>
      <c r="L18" s="18"/>
    </row>
    <row r="19" spans="1:12" s="72" customFormat="1">
      <c r="A19" s="88" t="s">
        <v>280</v>
      </c>
      <c r="B19" s="89" t="s">
        <v>522</v>
      </c>
      <c r="C19" s="18">
        <v>3450</v>
      </c>
      <c r="D19" s="18">
        <v>2890</v>
      </c>
      <c r="E19" s="18"/>
      <c r="F19" s="18"/>
      <c r="G19" s="18"/>
      <c r="H19" s="18"/>
      <c r="I19" s="18"/>
      <c r="J19" s="18"/>
      <c r="K19" s="18"/>
      <c r="L19" s="18"/>
    </row>
    <row r="20" spans="1:12" s="72" customFormat="1" ht="48" customHeight="1">
      <c r="A20" s="83" t="s">
        <v>131</v>
      </c>
      <c r="B20" s="84" t="s">
        <v>530</v>
      </c>
      <c r="C20" s="202">
        <f>C19/C18</f>
        <v>4.3125</v>
      </c>
      <c r="D20" s="202">
        <f>D19/D18</f>
        <v>3.4404761904761907</v>
      </c>
      <c r="E20" s="80"/>
      <c r="F20" s="80"/>
      <c r="G20" s="80"/>
      <c r="H20" s="80"/>
      <c r="I20" s="80"/>
      <c r="J20" s="80"/>
      <c r="K20" s="80"/>
      <c r="L20" s="80"/>
    </row>
    <row r="21" spans="1:12" s="72" customFormat="1">
      <c r="A21" s="88" t="s">
        <v>240</v>
      </c>
      <c r="B21" s="89" t="s">
        <v>525</v>
      </c>
      <c r="C21" s="18">
        <v>300</v>
      </c>
      <c r="D21" s="18">
        <v>340</v>
      </c>
      <c r="E21" s="18"/>
      <c r="F21" s="18"/>
      <c r="G21" s="18"/>
      <c r="H21" s="18"/>
      <c r="I21" s="18"/>
      <c r="J21" s="18"/>
      <c r="K21" s="18"/>
      <c r="L21" s="18"/>
    </row>
    <row r="22" spans="1:12" s="72" customFormat="1">
      <c r="A22" s="88" t="s">
        <v>243</v>
      </c>
      <c r="B22" s="89" t="s">
        <v>526</v>
      </c>
      <c r="C22" s="18">
        <v>450</v>
      </c>
      <c r="D22" s="18">
        <v>800</v>
      </c>
      <c r="E22" s="18"/>
      <c r="F22" s="18"/>
      <c r="G22" s="18"/>
      <c r="H22" s="18"/>
      <c r="I22" s="18"/>
      <c r="J22" s="18"/>
      <c r="K22" s="18"/>
      <c r="L22" s="18"/>
    </row>
    <row r="23" spans="1:12" s="72" customFormat="1">
      <c r="A23" s="88" t="s">
        <v>252</v>
      </c>
      <c r="B23" s="89" t="s">
        <v>527</v>
      </c>
      <c r="C23" s="18">
        <v>3100</v>
      </c>
      <c r="D23" s="18">
        <v>5577</v>
      </c>
      <c r="E23" s="18"/>
      <c r="F23" s="18"/>
      <c r="G23" s="18"/>
      <c r="H23" s="18"/>
      <c r="I23" s="18"/>
      <c r="J23" s="18"/>
      <c r="K23" s="18"/>
      <c r="L23" s="18"/>
    </row>
    <row r="24" spans="1:12" s="72" customFormat="1" ht="48" customHeight="1">
      <c r="A24" s="83" t="s">
        <v>133</v>
      </c>
      <c r="B24" s="84" t="s">
        <v>536</v>
      </c>
      <c r="C24" s="203">
        <f>ROUND(C23/(C21+C22),0)</f>
        <v>4</v>
      </c>
      <c r="D24" s="203">
        <f>ROUND(D23/(D21+D22),0)</f>
        <v>5</v>
      </c>
      <c r="E24" s="80"/>
      <c r="F24" s="80"/>
      <c r="G24" s="80"/>
      <c r="H24" s="80"/>
      <c r="I24" s="80"/>
      <c r="J24" s="80"/>
      <c r="K24" s="80"/>
      <c r="L24" s="80"/>
    </row>
    <row r="25" spans="1:12" s="72" customFormat="1" ht="46.2">
      <c r="A25" s="81" t="s">
        <v>107</v>
      </c>
      <c r="B25" s="74" t="s">
        <v>531</v>
      </c>
      <c r="C25" s="80">
        <f>ROUND(17.5,0)</f>
        <v>18</v>
      </c>
      <c r="D25" s="80">
        <f>ROUND(15.6578947368421,0)</f>
        <v>16</v>
      </c>
      <c r="E25" s="80"/>
      <c r="F25" s="80"/>
      <c r="G25" s="80"/>
      <c r="H25" s="80"/>
      <c r="I25" s="80"/>
      <c r="J25" s="80"/>
      <c r="K25" s="80"/>
      <c r="L25" s="80"/>
    </row>
    <row r="26" spans="1:12" s="72" customFormat="1">
      <c r="A26" s="87" t="s">
        <v>18</v>
      </c>
      <c r="B26" s="82" t="s">
        <v>532</v>
      </c>
      <c r="C26" s="80">
        <v>3300</v>
      </c>
      <c r="D26" s="80">
        <v>2890</v>
      </c>
      <c r="E26" s="80"/>
      <c r="F26" s="80"/>
      <c r="G26" s="80"/>
      <c r="H26" s="80"/>
      <c r="I26" s="80"/>
      <c r="J26" s="80"/>
      <c r="K26" s="80"/>
      <c r="L26" s="80"/>
    </row>
    <row r="27" spans="1:12" s="72" customFormat="1">
      <c r="A27" s="87" t="s">
        <v>19</v>
      </c>
      <c r="B27" s="82" t="s">
        <v>533</v>
      </c>
      <c r="C27" s="43">
        <v>3500</v>
      </c>
      <c r="D27" s="43">
        <v>6758.818181818182</v>
      </c>
      <c r="E27" s="80"/>
      <c r="F27" s="80"/>
      <c r="G27" s="80"/>
      <c r="H27" s="80"/>
      <c r="I27" s="80"/>
      <c r="J27" s="80"/>
      <c r="K27" s="80"/>
      <c r="L27" s="80"/>
    </row>
    <row r="28" spans="1:12" s="72" customFormat="1">
      <c r="A28" s="81" t="s">
        <v>98</v>
      </c>
      <c r="B28" s="84" t="s">
        <v>534</v>
      </c>
      <c r="C28" s="80">
        <v>15000</v>
      </c>
      <c r="D28" s="80">
        <v>18850</v>
      </c>
      <c r="E28" s="80"/>
      <c r="F28" s="80"/>
      <c r="G28" s="80"/>
      <c r="H28" s="80"/>
      <c r="I28" s="80"/>
      <c r="J28" s="80"/>
      <c r="K28" s="80"/>
      <c r="L28" s="80"/>
    </row>
  </sheetData>
  <mergeCells count="3">
    <mergeCell ref="A4:B5"/>
    <mergeCell ref="C4:L4"/>
    <mergeCell ref="D6:L6"/>
  </mergeCells>
  <pageMargins left="0.70866141732283472" right="0.70866141732283472" top="0.74803149606299213" bottom="0.74803149606299213" header="0.31496062992125984" footer="0.31496062992125984"/>
  <pageSetup paperSize="9" scale="74" orientation="landscape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>
  <sheetPr codeName="Лист6"/>
  <dimension ref="A1:P26"/>
  <sheetViews>
    <sheetView workbookViewId="0">
      <selection activeCell="F25" sqref="F25:H25"/>
    </sheetView>
  </sheetViews>
  <sheetFormatPr defaultRowHeight="13.8"/>
  <cols>
    <col min="1" max="1" width="78.88671875" style="1" customWidth="1"/>
    <col min="2" max="16384" width="8.88671875" style="1"/>
  </cols>
  <sheetData>
    <row r="1" spans="1:16" ht="30" customHeight="1">
      <c r="A1" s="30" t="s">
        <v>181</v>
      </c>
      <c r="C1" s="23" t="s">
        <v>60</v>
      </c>
    </row>
    <row r="2" spans="1:16" ht="30" customHeight="1">
      <c r="A2" s="30" t="s">
        <v>182</v>
      </c>
      <c r="C2" s="23" t="s">
        <v>59</v>
      </c>
      <c r="D2" s="25">
        <v>0</v>
      </c>
      <c r="E2" s="25">
        <v>1.5</v>
      </c>
      <c r="F2" s="25">
        <v>3</v>
      </c>
      <c r="G2" s="25">
        <v>4.5</v>
      </c>
      <c r="H2" s="25">
        <v>6</v>
      </c>
      <c r="I2" s="25">
        <v>7.5</v>
      </c>
      <c r="J2" s="25">
        <v>9</v>
      </c>
      <c r="K2" s="25">
        <v>10.5</v>
      </c>
      <c r="L2" s="25">
        <v>12</v>
      </c>
      <c r="M2" s="25">
        <v>13.5</v>
      </c>
      <c r="N2" s="25">
        <v>15</v>
      </c>
      <c r="O2" s="25"/>
    </row>
    <row r="3" spans="1:16">
      <c r="C3" s="23" t="s">
        <v>61</v>
      </c>
      <c r="D3" s="24">
        <v>0.03</v>
      </c>
      <c r="E3" s="24">
        <v>2.8000000000000001E-2</v>
      </c>
      <c r="F3" s="24">
        <v>2.5999999999999999E-2</v>
      </c>
      <c r="G3" s="24">
        <v>2.4E-2</v>
      </c>
      <c r="H3" s="24">
        <v>2.1999999999999999E-2</v>
      </c>
      <c r="I3" s="24">
        <v>1.9E-2</v>
      </c>
      <c r="J3" s="24">
        <v>1.6E-2</v>
      </c>
      <c r="K3" s="24">
        <v>1.2999999999999999E-2</v>
      </c>
      <c r="L3" s="24">
        <v>1.0999999999999999E-2</v>
      </c>
      <c r="M3" s="24">
        <v>0.01</v>
      </c>
      <c r="N3" s="24">
        <v>0.01</v>
      </c>
      <c r="O3" s="24"/>
      <c r="P3" s="24"/>
    </row>
    <row r="5" spans="1:16">
      <c r="A5" s="23" t="s">
        <v>59</v>
      </c>
    </row>
    <row r="6" spans="1:16">
      <c r="A6" s="1" t="s">
        <v>183</v>
      </c>
    </row>
    <row r="8" spans="1:16">
      <c r="A8" s="23" t="s">
        <v>61</v>
      </c>
    </row>
    <row r="9" spans="1:16">
      <c r="A9" s="1" t="s">
        <v>184</v>
      </c>
    </row>
    <row r="10" spans="1:16" ht="28.8">
      <c r="A10" s="49" t="s">
        <v>207</v>
      </c>
    </row>
    <row r="23" spans="3:8" ht="14.4" thickBot="1">
      <c r="C23" s="1" t="s">
        <v>537</v>
      </c>
      <c r="E23" s="120"/>
      <c r="F23" s="120"/>
      <c r="G23" s="120"/>
      <c r="H23" s="120"/>
    </row>
    <row r="24" spans="3:8">
      <c r="C24" s="118" t="s">
        <v>59</v>
      </c>
      <c r="D24" s="25">
        <v>1.5</v>
      </c>
      <c r="E24" s="25">
        <v>3</v>
      </c>
      <c r="F24" s="191">
        <v>2</v>
      </c>
      <c r="G24" s="191"/>
      <c r="H24" s="191"/>
    </row>
    <row r="25" spans="3:8" ht="14.4" thickBot="1">
      <c r="C25" s="119" t="s">
        <v>61</v>
      </c>
      <c r="D25" s="24">
        <v>2.8000000000000001E-2</v>
      </c>
      <c r="E25" s="24">
        <v>2.5999999999999999E-2</v>
      </c>
      <c r="F25" s="192">
        <f>IF(AND(F24&gt;=D24, F24&lt;=E24), ((F24-D24)/(E24-D24)*(E25-D25)+D25), "неверный диапазон")</f>
        <v>2.7333333333333334E-2</v>
      </c>
      <c r="G25" s="192"/>
      <c r="H25" s="192"/>
    </row>
    <row r="26" spans="3:8">
      <c r="E26" s="120"/>
      <c r="F26" s="120"/>
      <c r="G26" s="120"/>
      <c r="H26" s="120"/>
    </row>
  </sheetData>
  <mergeCells count="2">
    <mergeCell ref="F24:H24"/>
    <mergeCell ref="F25:H25"/>
  </mergeCells>
  <pageMargins left="0.7" right="0.7" top="0.75" bottom="0.75" header="0.3" footer="0.3"/>
  <pageSetup paperSize="9" orientation="portrait" horizontalDpi="180" verticalDpi="18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:P25"/>
  <sheetViews>
    <sheetView workbookViewId="0">
      <selection activeCell="F25" sqref="F25:H25"/>
    </sheetView>
  </sheetViews>
  <sheetFormatPr defaultRowHeight="13.8"/>
  <cols>
    <col min="1" max="1" width="78.88671875" style="1" customWidth="1"/>
    <col min="2" max="16384" width="8.88671875" style="1"/>
  </cols>
  <sheetData>
    <row r="1" spans="1:16" ht="30" customHeight="1">
      <c r="A1" s="30" t="s">
        <v>185</v>
      </c>
      <c r="C1" s="23" t="s">
        <v>60</v>
      </c>
    </row>
    <row r="2" spans="1:16" ht="30" customHeight="1">
      <c r="A2" s="30" t="s">
        <v>186</v>
      </c>
      <c r="C2" s="23" t="s">
        <v>59</v>
      </c>
      <c r="D2" s="25">
        <v>0</v>
      </c>
      <c r="E2" s="25">
        <v>2</v>
      </c>
      <c r="F2" s="25">
        <v>4</v>
      </c>
      <c r="G2" s="25">
        <v>6</v>
      </c>
      <c r="H2" s="25">
        <v>8</v>
      </c>
      <c r="I2" s="25">
        <v>10</v>
      </c>
      <c r="J2" s="25">
        <v>12</v>
      </c>
      <c r="K2" s="25">
        <v>14</v>
      </c>
      <c r="L2" s="25">
        <v>16</v>
      </c>
      <c r="M2" s="25">
        <v>18</v>
      </c>
      <c r="N2" s="25">
        <v>20</v>
      </c>
      <c r="O2" s="25"/>
    </row>
    <row r="3" spans="1:16">
      <c r="C3" s="23" t="s">
        <v>61</v>
      </c>
      <c r="D3" s="24">
        <v>1</v>
      </c>
      <c r="E3" s="24">
        <v>1.5</v>
      </c>
      <c r="F3" s="24">
        <v>1.45</v>
      </c>
      <c r="G3" s="24">
        <v>1.4</v>
      </c>
      <c r="H3" s="24">
        <v>1.35</v>
      </c>
      <c r="I3" s="24">
        <v>1.3</v>
      </c>
      <c r="J3" s="24">
        <v>1.2</v>
      </c>
      <c r="K3" s="24">
        <v>1.1000000000000001</v>
      </c>
      <c r="L3" s="24">
        <v>1</v>
      </c>
      <c r="M3" s="24">
        <v>1</v>
      </c>
      <c r="N3" s="24">
        <v>1</v>
      </c>
      <c r="O3" s="24"/>
      <c r="P3" s="24"/>
    </row>
    <row r="5" spans="1:16">
      <c r="A5" s="23" t="s">
        <v>59</v>
      </c>
    </row>
    <row r="6" spans="1:16">
      <c r="A6" s="1" t="s">
        <v>189</v>
      </c>
    </row>
    <row r="8" spans="1:16">
      <c r="A8" s="23" t="s">
        <v>61</v>
      </c>
    </row>
    <row r="9" spans="1:16">
      <c r="A9" s="1" t="s">
        <v>187</v>
      </c>
    </row>
    <row r="10" spans="1:16" ht="14.4">
      <c r="A10" s="49" t="s">
        <v>188</v>
      </c>
    </row>
    <row r="11" spans="1:16" ht="15.6">
      <c r="A11" s="29"/>
    </row>
    <row r="23" spans="3:9" ht="14.4" thickBot="1">
      <c r="C23" s="1" t="s">
        <v>537</v>
      </c>
      <c r="F23" s="120"/>
      <c r="G23" s="120"/>
      <c r="H23" s="120"/>
      <c r="I23" s="120"/>
    </row>
    <row r="24" spans="3:9">
      <c r="C24" s="118" t="s">
        <v>59</v>
      </c>
      <c r="D24" s="25">
        <v>0</v>
      </c>
      <c r="E24" s="25">
        <v>2</v>
      </c>
      <c r="F24" s="191">
        <v>1</v>
      </c>
      <c r="G24" s="191"/>
      <c r="H24" s="191"/>
      <c r="I24" s="120"/>
    </row>
    <row r="25" spans="3:9" ht="14.4" thickBot="1">
      <c r="C25" s="119" t="s">
        <v>61</v>
      </c>
      <c r="D25" s="24">
        <v>1</v>
      </c>
      <c r="E25" s="24">
        <v>1.5</v>
      </c>
      <c r="F25" s="192">
        <f>IF(AND(F24&gt;=D24, F24&lt;=E24), ((F24-D24)/(E24-D24)*(E25-D25)+D25), "неверный диапазон")</f>
        <v>1.25</v>
      </c>
      <c r="G25" s="192"/>
      <c r="H25" s="192"/>
      <c r="I25" s="120"/>
    </row>
  </sheetData>
  <mergeCells count="2">
    <mergeCell ref="F24:H24"/>
    <mergeCell ref="F25:H25"/>
  </mergeCells>
  <pageMargins left="0.7" right="0.7" top="0.75" bottom="0.75" header="0.3" footer="0.3"/>
  <pageSetup paperSize="9" orientation="portrait" horizontalDpi="180" verticalDpi="18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P26"/>
  <sheetViews>
    <sheetView workbookViewId="0">
      <selection activeCell="J27" sqref="J27"/>
    </sheetView>
  </sheetViews>
  <sheetFormatPr defaultRowHeight="13.8"/>
  <cols>
    <col min="1" max="1" width="78.88671875" style="1" customWidth="1"/>
    <col min="2" max="16384" width="8.88671875" style="1"/>
  </cols>
  <sheetData>
    <row r="1" spans="1:16" ht="30" customHeight="1">
      <c r="A1" s="30" t="s">
        <v>190</v>
      </c>
      <c r="C1" s="23" t="s">
        <v>60</v>
      </c>
    </row>
    <row r="2" spans="1:16" ht="30" customHeight="1">
      <c r="A2" s="30" t="s">
        <v>191</v>
      </c>
      <c r="C2" s="23" t="s">
        <v>59</v>
      </c>
      <c r="D2" s="25">
        <v>0</v>
      </c>
      <c r="E2" s="25">
        <v>0.5</v>
      </c>
      <c r="F2" s="25">
        <v>1</v>
      </c>
      <c r="G2" s="25">
        <v>1.5</v>
      </c>
      <c r="H2" s="25">
        <v>2</v>
      </c>
      <c r="I2" s="25">
        <v>2.5</v>
      </c>
      <c r="J2" s="25">
        <v>3</v>
      </c>
      <c r="K2" s="25">
        <v>3.5</v>
      </c>
      <c r="L2" s="25">
        <v>4</v>
      </c>
      <c r="M2" s="25">
        <v>4.5</v>
      </c>
      <c r="N2" s="25">
        <v>5</v>
      </c>
      <c r="O2" s="25"/>
    </row>
    <row r="3" spans="1:16">
      <c r="C3" s="23" t="s">
        <v>61</v>
      </c>
      <c r="D3" s="24">
        <v>0.06</v>
      </c>
      <c r="E3" s="24">
        <v>4.4999999999999998E-2</v>
      </c>
      <c r="F3" s="24">
        <v>0.03</v>
      </c>
      <c r="G3" s="24">
        <v>2.1999999999999999E-2</v>
      </c>
      <c r="H3" s="24">
        <v>1.7999999999999999E-2</v>
      </c>
      <c r="I3" s="24">
        <v>1.4999999999999999E-2</v>
      </c>
      <c r="J3" s="24">
        <v>1.2999999999999999E-2</v>
      </c>
      <c r="K3" s="24">
        <v>1.2E-2</v>
      </c>
      <c r="L3" s="24">
        <v>1.0999999999999999E-2</v>
      </c>
      <c r="M3" s="24">
        <v>0.01</v>
      </c>
      <c r="N3" s="24">
        <v>0.01</v>
      </c>
      <c r="O3" s="24"/>
      <c r="P3" s="24"/>
    </row>
    <row r="5" spans="1:16">
      <c r="A5" s="23" t="s">
        <v>59</v>
      </c>
    </row>
    <row r="6" spans="1:16">
      <c r="A6" s="1" t="s">
        <v>38</v>
      </c>
    </row>
    <row r="8" spans="1:16">
      <c r="A8" s="23" t="s">
        <v>61</v>
      </c>
    </row>
    <row r="9" spans="1:16">
      <c r="A9" s="1" t="s">
        <v>192</v>
      </c>
    </row>
    <row r="10" spans="1:16" ht="28.8">
      <c r="A10" s="49" t="s">
        <v>207</v>
      </c>
    </row>
    <row r="24" spans="3:8" ht="14.4" thickBot="1">
      <c r="C24" s="1" t="s">
        <v>537</v>
      </c>
      <c r="E24" s="120"/>
      <c r="F24" s="120"/>
      <c r="G24" s="120"/>
      <c r="H24" s="120"/>
    </row>
    <row r="25" spans="3:8">
      <c r="C25" s="118" t="s">
        <v>59</v>
      </c>
      <c r="D25" s="25">
        <v>0</v>
      </c>
      <c r="E25" s="25">
        <v>0.5</v>
      </c>
      <c r="F25" s="191">
        <v>0.25</v>
      </c>
      <c r="G25" s="191"/>
      <c r="H25" s="191"/>
    </row>
    <row r="26" spans="3:8" ht="14.4" thickBot="1">
      <c r="C26" s="119" t="s">
        <v>61</v>
      </c>
      <c r="D26" s="24">
        <v>0.06</v>
      </c>
      <c r="E26" s="24">
        <v>4.4999999999999998E-2</v>
      </c>
      <c r="F26" s="192">
        <f>IF(AND(F25&gt;=D25, F25&lt;=E25), ((F25-D25)/(E25-D25)*(E26-D26)+D26), "неверный диапазон")</f>
        <v>5.2499999999999998E-2</v>
      </c>
      <c r="G26" s="192"/>
      <c r="H26" s="192"/>
    </row>
  </sheetData>
  <mergeCells count="2">
    <mergeCell ref="F25:H25"/>
    <mergeCell ref="F26:H26"/>
  </mergeCells>
  <pageMargins left="0.7" right="0.7" top="0.75" bottom="0.75" header="0.3" footer="0.3"/>
  <pageSetup paperSize="9" orientation="portrait" horizontalDpi="180" verticalDpi="18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26"/>
  <sheetViews>
    <sheetView workbookViewId="0">
      <selection activeCell="F26" sqref="F26:H26"/>
    </sheetView>
  </sheetViews>
  <sheetFormatPr defaultRowHeight="13.8"/>
  <cols>
    <col min="1" max="1" width="78.88671875" style="1" customWidth="1"/>
    <col min="2" max="16384" width="8.88671875" style="1"/>
  </cols>
  <sheetData>
    <row r="1" spans="1:16" ht="30" customHeight="1">
      <c r="A1" s="30" t="s">
        <v>194</v>
      </c>
      <c r="C1" s="23" t="s">
        <v>60</v>
      </c>
    </row>
    <row r="2" spans="1:16" ht="30" customHeight="1">
      <c r="A2" s="30" t="s">
        <v>193</v>
      </c>
      <c r="C2" s="23" t="s">
        <v>59</v>
      </c>
      <c r="D2" s="25">
        <v>0</v>
      </c>
      <c r="E2" s="25">
        <v>0.1</v>
      </c>
      <c r="F2" s="25">
        <v>0.2</v>
      </c>
      <c r="G2" s="25">
        <v>0.3</v>
      </c>
      <c r="H2" s="25">
        <v>0.4</v>
      </c>
      <c r="I2" s="25">
        <v>0.5</v>
      </c>
      <c r="J2" s="25">
        <v>0.6</v>
      </c>
      <c r="K2" s="25">
        <v>0.7</v>
      </c>
      <c r="L2" s="25">
        <v>0.8</v>
      </c>
      <c r="M2" s="25">
        <v>0.9</v>
      </c>
      <c r="N2" s="25">
        <v>1</v>
      </c>
      <c r="O2" s="25"/>
    </row>
    <row r="3" spans="1:16">
      <c r="C3" s="23" t="s">
        <v>61</v>
      </c>
      <c r="D3" s="31">
        <v>1.75</v>
      </c>
      <c r="E3" s="31">
        <v>1.6</v>
      </c>
      <c r="F3" s="31">
        <v>1.5</v>
      </c>
      <c r="G3" s="31">
        <v>1.4</v>
      </c>
      <c r="H3" s="31">
        <v>1.3</v>
      </c>
      <c r="I3" s="31">
        <v>1.2</v>
      </c>
      <c r="J3" s="31">
        <v>1.1000000000000001</v>
      </c>
      <c r="K3" s="31">
        <v>1</v>
      </c>
      <c r="L3" s="31">
        <v>1</v>
      </c>
      <c r="M3" s="31">
        <v>1</v>
      </c>
      <c r="N3" s="31">
        <v>1</v>
      </c>
      <c r="O3" s="24"/>
      <c r="P3" s="24"/>
    </row>
    <row r="5" spans="1:16">
      <c r="A5" s="23" t="s">
        <v>59</v>
      </c>
    </row>
    <row r="6" spans="1:16">
      <c r="A6" s="1" t="s">
        <v>128</v>
      </c>
    </row>
    <row r="8" spans="1:16">
      <c r="A8" s="23" t="s">
        <v>61</v>
      </c>
    </row>
    <row r="9" spans="1:16">
      <c r="A9" s="1" t="s">
        <v>195</v>
      </c>
    </row>
    <row r="10" spans="1:16" ht="14.4">
      <c r="A10" s="49" t="s">
        <v>188</v>
      </c>
    </row>
    <row r="13" spans="1:16" ht="15.6">
      <c r="A13" s="29"/>
    </row>
    <row r="14" spans="1:16" ht="15.6">
      <c r="A14" s="29"/>
    </row>
    <row r="15" spans="1:16" ht="15.6">
      <c r="A15" s="29"/>
    </row>
    <row r="24" spans="3:8" ht="14.4" thickBot="1">
      <c r="C24" s="1" t="s">
        <v>537</v>
      </c>
      <c r="E24" s="120"/>
      <c r="F24" s="120"/>
      <c r="G24" s="120"/>
      <c r="H24" s="120"/>
    </row>
    <row r="25" spans="3:8">
      <c r="C25" s="118" t="s">
        <v>59</v>
      </c>
      <c r="D25" s="25">
        <v>0.6</v>
      </c>
      <c r="E25" s="25">
        <v>0.7</v>
      </c>
      <c r="F25" s="191">
        <v>0.68799999999999994</v>
      </c>
      <c r="G25" s="191"/>
      <c r="H25" s="191"/>
    </row>
    <row r="26" spans="3:8" ht="14.4" thickBot="1">
      <c r="C26" s="119" t="s">
        <v>61</v>
      </c>
      <c r="D26" s="31">
        <v>1.1000000000000001</v>
      </c>
      <c r="E26" s="31">
        <v>1</v>
      </c>
      <c r="F26" s="192">
        <f>IF(AND(F25&gt;=D25, F25&lt;=E25), ((F25-D25)/(E25-D25)*(E26-D26)+D26), "неверный диапазон")</f>
        <v>1.012</v>
      </c>
      <c r="G26" s="192"/>
      <c r="H26" s="192"/>
    </row>
  </sheetData>
  <mergeCells count="2">
    <mergeCell ref="F25:H25"/>
    <mergeCell ref="F26:H26"/>
  </mergeCells>
  <pageMargins left="0.7" right="0.7" top="0.75" bottom="0.75" header="0.3" footer="0.3"/>
  <pageSetup paperSize="9" orientation="portrait" horizontalDpi="180" verticalDpi="18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P27"/>
  <sheetViews>
    <sheetView workbookViewId="0">
      <selection activeCell="F26" sqref="F26:H26"/>
    </sheetView>
  </sheetViews>
  <sheetFormatPr defaultRowHeight="13.8"/>
  <cols>
    <col min="1" max="1" width="78.88671875" style="1" customWidth="1"/>
    <col min="2" max="16384" width="8.88671875" style="1"/>
  </cols>
  <sheetData>
    <row r="1" spans="1:16" ht="30" customHeight="1">
      <c r="A1" s="30" t="s">
        <v>208</v>
      </c>
      <c r="C1" s="23" t="s">
        <v>60</v>
      </c>
    </row>
    <row r="2" spans="1:16" ht="30" customHeight="1">
      <c r="A2" s="30" t="s">
        <v>216</v>
      </c>
      <c r="C2" s="23" t="s">
        <v>59</v>
      </c>
      <c r="D2" s="25">
        <v>0</v>
      </c>
      <c r="E2" s="25">
        <v>1</v>
      </c>
      <c r="F2" s="25">
        <v>2</v>
      </c>
      <c r="G2" s="25">
        <v>3</v>
      </c>
      <c r="H2" s="25">
        <v>4</v>
      </c>
      <c r="I2" s="25">
        <v>5</v>
      </c>
      <c r="J2" s="25">
        <v>6</v>
      </c>
      <c r="K2" s="25">
        <v>7</v>
      </c>
      <c r="L2" s="25">
        <v>8</v>
      </c>
      <c r="M2" s="25">
        <v>9</v>
      </c>
      <c r="N2" s="25">
        <v>10</v>
      </c>
      <c r="O2" s="25"/>
    </row>
    <row r="3" spans="1:16">
      <c r="C3" s="23" t="s">
        <v>61</v>
      </c>
      <c r="D3" s="25">
        <v>0.03</v>
      </c>
      <c r="E3" s="25">
        <v>17.5</v>
      </c>
      <c r="F3" s="25">
        <v>20</v>
      </c>
      <c r="G3" s="25">
        <v>22.5</v>
      </c>
      <c r="H3" s="25">
        <v>25</v>
      </c>
      <c r="I3" s="25">
        <v>27.5</v>
      </c>
      <c r="J3" s="25">
        <v>30</v>
      </c>
      <c r="K3" s="25">
        <v>32</v>
      </c>
      <c r="L3" s="25">
        <v>33.5</v>
      </c>
      <c r="M3" s="25">
        <v>34.5</v>
      </c>
      <c r="N3" s="25">
        <v>35</v>
      </c>
      <c r="O3" s="24"/>
      <c r="P3" s="24"/>
    </row>
    <row r="5" spans="1:16">
      <c r="A5" s="23" t="s">
        <v>59</v>
      </c>
    </row>
    <row r="6" spans="1:16">
      <c r="A6" s="1" t="s">
        <v>209</v>
      </c>
    </row>
    <row r="7" spans="1:16" ht="14.4">
      <c r="A7" s="49" t="s">
        <v>211</v>
      </c>
    </row>
    <row r="9" spans="1:16">
      <c r="A9" s="23" t="s">
        <v>61</v>
      </c>
    </row>
    <row r="10" spans="1:16">
      <c r="A10" s="1" t="s">
        <v>210</v>
      </c>
    </row>
    <row r="11" spans="1:16" ht="14.4">
      <c r="A11" s="49" t="s">
        <v>211</v>
      </c>
    </row>
    <row r="23" spans="3:14">
      <c r="D23" s="23" t="s">
        <v>543</v>
      </c>
      <c r="E23" s="1">
        <f>E3/E2</f>
        <v>17.5</v>
      </c>
      <c r="F23" s="1">
        <f t="shared" ref="F23:N23" si="0">F3/F2</f>
        <v>10</v>
      </c>
      <c r="G23" s="1">
        <f t="shared" si="0"/>
        <v>7.5</v>
      </c>
      <c r="H23" s="1">
        <f t="shared" si="0"/>
        <v>6.25</v>
      </c>
      <c r="I23" s="1">
        <f t="shared" si="0"/>
        <v>5.5</v>
      </c>
      <c r="J23" s="1">
        <f t="shared" si="0"/>
        <v>5</v>
      </c>
      <c r="K23" s="1">
        <f t="shared" si="0"/>
        <v>4.5714285714285712</v>
      </c>
      <c r="L23" s="1">
        <f>L3/L2</f>
        <v>4.1875</v>
      </c>
      <c r="M23" s="1">
        <f t="shared" si="0"/>
        <v>3.8333333333333335</v>
      </c>
      <c r="N23" s="1">
        <f t="shared" si="0"/>
        <v>3.5</v>
      </c>
    </row>
    <row r="25" spans="3:14" ht="14.4" thickBot="1">
      <c r="C25" s="1" t="s">
        <v>537</v>
      </c>
      <c r="E25" s="120"/>
      <c r="F25" s="120"/>
      <c r="G25" s="120"/>
      <c r="H25" s="120"/>
    </row>
    <row r="26" spans="3:14">
      <c r="C26" s="118" t="s">
        <v>59</v>
      </c>
      <c r="D26" s="25">
        <v>0</v>
      </c>
      <c r="E26" s="25">
        <v>1</v>
      </c>
      <c r="F26" s="191">
        <f>1140/1000</f>
        <v>1.1399999999999999</v>
      </c>
      <c r="G26" s="191"/>
      <c r="H26" s="191"/>
    </row>
    <row r="27" spans="3:14" ht="14.4" thickBot="1">
      <c r="C27" s="119" t="s">
        <v>61</v>
      </c>
      <c r="D27" s="25">
        <v>0.03</v>
      </c>
      <c r="E27" s="25">
        <v>17.5</v>
      </c>
      <c r="F27" s="196" t="str">
        <f>IF(AND(F26&gt;=D26, F26&lt;=E26), ((F26-D26)/(E26-D26)*(E27-D27)+D27), "неверный диапазон")</f>
        <v>неверный диапазон</v>
      </c>
      <c r="G27" s="196"/>
      <c r="H27" s="196"/>
    </row>
  </sheetData>
  <mergeCells count="2">
    <mergeCell ref="F26:H26"/>
    <mergeCell ref="F27:H27"/>
  </mergeCells>
  <pageMargins left="0.7" right="0.7" top="0.75" bottom="0.75" header="0.3" footer="0.3"/>
  <pageSetup paperSize="9" orientation="portrait" horizontalDpi="180" verticalDpi="18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dimension ref="A1:P25"/>
  <sheetViews>
    <sheetView workbookViewId="0">
      <selection activeCell="F25" sqref="F25:H25"/>
    </sheetView>
  </sheetViews>
  <sheetFormatPr defaultRowHeight="13.8"/>
  <cols>
    <col min="1" max="1" width="78.88671875" style="1" customWidth="1"/>
    <col min="2" max="16384" width="8.88671875" style="1"/>
  </cols>
  <sheetData>
    <row r="1" spans="1:16" ht="30" customHeight="1">
      <c r="A1" s="30" t="s">
        <v>179</v>
      </c>
      <c r="C1" s="23" t="s">
        <v>60</v>
      </c>
    </row>
    <row r="2" spans="1:16" ht="30" customHeight="1">
      <c r="A2" s="30" t="s">
        <v>180</v>
      </c>
      <c r="C2" s="23" t="s">
        <v>59</v>
      </c>
      <c r="D2" s="25">
        <v>0</v>
      </c>
      <c r="E2" s="25">
        <v>0.1</v>
      </c>
      <c r="F2" s="25">
        <v>0.2</v>
      </c>
      <c r="G2" s="25">
        <v>0.3</v>
      </c>
      <c r="H2" s="25">
        <v>0.4</v>
      </c>
      <c r="I2" s="25">
        <v>0.5</v>
      </c>
      <c r="J2" s="25">
        <v>0.6</v>
      </c>
      <c r="K2" s="25">
        <v>0.7</v>
      </c>
      <c r="L2" s="25">
        <v>0.8</v>
      </c>
      <c r="M2" s="25">
        <v>0.9</v>
      </c>
      <c r="N2" s="25">
        <v>1</v>
      </c>
      <c r="O2" s="25"/>
    </row>
    <row r="3" spans="1:16">
      <c r="C3" s="23" t="s">
        <v>61</v>
      </c>
      <c r="D3" s="31">
        <v>1</v>
      </c>
      <c r="E3" s="31">
        <v>0.8</v>
      </c>
      <c r="F3" s="31">
        <v>0.7</v>
      </c>
      <c r="G3" s="31">
        <v>0.57999999999999996</v>
      </c>
      <c r="H3" s="31">
        <v>0.5</v>
      </c>
      <c r="I3" s="31">
        <v>0.42</v>
      </c>
      <c r="J3" s="31">
        <v>0.4</v>
      </c>
      <c r="K3" s="31">
        <v>0.35</v>
      </c>
      <c r="L3" s="31">
        <v>0.33</v>
      </c>
      <c r="M3" s="31">
        <v>0.31</v>
      </c>
      <c r="N3" s="31">
        <v>0.3</v>
      </c>
      <c r="O3" s="24"/>
      <c r="P3" s="24"/>
    </row>
    <row r="5" spans="1:16">
      <c r="A5" s="23" t="s">
        <v>59</v>
      </c>
    </row>
    <row r="6" spans="1:16">
      <c r="A6" s="1" t="s">
        <v>196</v>
      </c>
    </row>
    <row r="8" spans="1:16">
      <c r="A8" s="23" t="s">
        <v>61</v>
      </c>
    </row>
    <row r="9" spans="1:16">
      <c r="A9" s="1" t="s">
        <v>144</v>
      </c>
    </row>
    <row r="10" spans="1:16" ht="14.4">
      <c r="A10" s="49" t="s">
        <v>188</v>
      </c>
    </row>
    <row r="23" spans="3:8" ht="14.4" thickBot="1">
      <c r="C23" s="1" t="s">
        <v>537</v>
      </c>
      <c r="E23" s="120"/>
      <c r="F23" s="120"/>
      <c r="G23" s="120"/>
      <c r="H23" s="120"/>
    </row>
    <row r="24" spans="3:8">
      <c r="C24" s="118" t="s">
        <v>59</v>
      </c>
      <c r="D24" s="25">
        <v>0.2</v>
      </c>
      <c r="E24" s="25">
        <v>0.3</v>
      </c>
      <c r="F24" s="191">
        <v>0.254</v>
      </c>
      <c r="G24" s="191"/>
      <c r="H24" s="191"/>
    </row>
    <row r="25" spans="3:8" ht="14.4" thickBot="1">
      <c r="C25" s="119" t="s">
        <v>61</v>
      </c>
      <c r="D25" s="31">
        <v>0.7</v>
      </c>
      <c r="E25" s="31">
        <v>0.57999999999999996</v>
      </c>
      <c r="F25" s="192">
        <f>IF(AND(F24&gt;=D24, F24&lt;=E24), ((F24-D24)/(E24-D24)*(E25-D25)+D25), "неверный диапазон")</f>
        <v>0.63519999999999999</v>
      </c>
      <c r="G25" s="192"/>
      <c r="H25" s="192"/>
    </row>
  </sheetData>
  <mergeCells count="2">
    <mergeCell ref="F24:H24"/>
    <mergeCell ref="F25:H25"/>
  </mergeCells>
  <pageMargins left="0.7" right="0.7" top="0.75" bottom="0.75" header="0.3" footer="0.3"/>
  <pageSetup paperSize="9" orientation="portrait" horizontalDpi="180" verticalDpi="18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25"/>
  <sheetViews>
    <sheetView workbookViewId="0">
      <selection activeCell="F25" sqref="F25:H25"/>
    </sheetView>
  </sheetViews>
  <sheetFormatPr defaultRowHeight="13.8"/>
  <cols>
    <col min="1" max="1" width="78.88671875" style="1" customWidth="1"/>
    <col min="2" max="16384" width="8.88671875" style="1"/>
  </cols>
  <sheetData>
    <row r="1" spans="1:16" ht="30" customHeight="1">
      <c r="A1" s="30" t="s">
        <v>312</v>
      </c>
      <c r="C1" s="23" t="s">
        <v>60</v>
      </c>
    </row>
    <row r="2" spans="1:16" ht="30" customHeight="1">
      <c r="A2" s="30" t="s">
        <v>377</v>
      </c>
      <c r="C2" s="23" t="s">
        <v>59</v>
      </c>
      <c r="D2" s="25">
        <v>0</v>
      </c>
      <c r="E2" s="25">
        <v>0.2</v>
      </c>
      <c r="F2" s="25">
        <v>0.4</v>
      </c>
      <c r="G2" s="25">
        <v>0.6</v>
      </c>
      <c r="H2" s="25">
        <v>0.8</v>
      </c>
      <c r="I2" s="25">
        <v>1</v>
      </c>
      <c r="J2" s="25">
        <v>1.2</v>
      </c>
      <c r="K2" s="25">
        <v>1.4</v>
      </c>
      <c r="L2" s="25">
        <v>1.6</v>
      </c>
      <c r="M2" s="25">
        <v>1.8</v>
      </c>
      <c r="N2" s="25">
        <v>2</v>
      </c>
      <c r="O2" s="25"/>
    </row>
    <row r="3" spans="1:16">
      <c r="C3" s="23" t="s">
        <v>61</v>
      </c>
      <c r="D3" s="31">
        <v>0.4</v>
      </c>
      <c r="E3" s="31">
        <v>0.52</v>
      </c>
      <c r="F3" s="31">
        <v>0.64</v>
      </c>
      <c r="G3" s="31">
        <v>0.76</v>
      </c>
      <c r="H3" s="31">
        <v>0.88</v>
      </c>
      <c r="I3" s="31">
        <v>1</v>
      </c>
      <c r="J3" s="31">
        <v>1</v>
      </c>
      <c r="K3" s="31">
        <v>1</v>
      </c>
      <c r="L3" s="31">
        <v>1</v>
      </c>
      <c r="M3" s="31">
        <v>1</v>
      </c>
      <c r="N3" s="31">
        <v>1</v>
      </c>
      <c r="O3" s="24"/>
      <c r="P3" s="24"/>
    </row>
    <row r="5" spans="1:16">
      <c r="A5" s="23" t="s">
        <v>59</v>
      </c>
    </row>
    <row r="6" spans="1:16" ht="27.6">
      <c r="A6" s="55" t="s">
        <v>371</v>
      </c>
    </row>
    <row r="8" spans="1:16">
      <c r="A8" s="23" t="s">
        <v>61</v>
      </c>
    </row>
    <row r="9" spans="1:16">
      <c r="A9" s="1" t="s">
        <v>324</v>
      </c>
    </row>
    <row r="10" spans="1:16" ht="14.4">
      <c r="A10" s="49" t="s">
        <v>188</v>
      </c>
    </row>
    <row r="14" spans="1:16">
      <c r="A14" s="55"/>
    </row>
    <row r="15" spans="1:16">
      <c r="A15" s="55"/>
    </row>
    <row r="23" spans="3:8" ht="14.4" thickBot="1">
      <c r="C23" s="1" t="s">
        <v>537</v>
      </c>
      <c r="E23" s="120"/>
      <c r="F23" s="120"/>
      <c r="G23" s="120"/>
      <c r="H23" s="120"/>
    </row>
    <row r="24" spans="3:8">
      <c r="C24" s="118" t="s">
        <v>59</v>
      </c>
      <c r="D24" s="25">
        <v>0</v>
      </c>
      <c r="E24" s="25">
        <v>0.2</v>
      </c>
      <c r="F24" s="191">
        <v>0.1</v>
      </c>
      <c r="G24" s="191"/>
      <c r="H24" s="191"/>
    </row>
    <row r="25" spans="3:8" ht="14.4" thickBot="1">
      <c r="C25" s="119" t="s">
        <v>61</v>
      </c>
      <c r="D25" s="31">
        <v>0.4</v>
      </c>
      <c r="E25" s="31">
        <v>0.52</v>
      </c>
      <c r="F25" s="192">
        <f>IF(AND(F24&gt;=D24, F24&lt;=E24), ((F24-D24)/(E24-D24)*(E25-D25)+D25), "неверный диапазон")</f>
        <v>0.46</v>
      </c>
      <c r="G25" s="192"/>
      <c r="H25" s="192"/>
    </row>
  </sheetData>
  <mergeCells count="2">
    <mergeCell ref="F24:H24"/>
    <mergeCell ref="F25:H25"/>
  </mergeCells>
  <pageMargins left="0.7" right="0.7" top="0.75" bottom="0.75" header="0.3" footer="0.3"/>
  <pageSetup paperSize="9" orientation="portrait" horizontalDpi="180" verticalDpi="18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P25"/>
  <sheetViews>
    <sheetView workbookViewId="0">
      <selection activeCell="F25" sqref="F25:H25"/>
    </sheetView>
  </sheetViews>
  <sheetFormatPr defaultRowHeight="13.8"/>
  <cols>
    <col min="1" max="1" width="78.88671875" style="1" customWidth="1"/>
    <col min="2" max="16384" width="8.88671875" style="1"/>
  </cols>
  <sheetData>
    <row r="1" spans="1:16" ht="30" customHeight="1">
      <c r="A1" s="30" t="s">
        <v>309</v>
      </c>
      <c r="C1" s="23" t="s">
        <v>60</v>
      </c>
    </row>
    <row r="2" spans="1:16" ht="30" customHeight="1">
      <c r="A2" s="30" t="s">
        <v>376</v>
      </c>
      <c r="C2" s="23" t="s">
        <v>59</v>
      </c>
      <c r="D2" s="25">
        <v>0</v>
      </c>
      <c r="E2" s="25">
        <v>2</v>
      </c>
      <c r="F2" s="25">
        <v>4</v>
      </c>
      <c r="G2" s="25">
        <v>6</v>
      </c>
      <c r="H2" s="25">
        <v>8</v>
      </c>
      <c r="I2" s="25">
        <v>10</v>
      </c>
      <c r="J2" s="25">
        <v>12</v>
      </c>
      <c r="K2" s="25">
        <v>14</v>
      </c>
      <c r="L2" s="25">
        <v>16</v>
      </c>
      <c r="M2" s="25">
        <v>18</v>
      </c>
      <c r="N2" s="25">
        <v>20</v>
      </c>
      <c r="O2" s="25"/>
    </row>
    <row r="3" spans="1:16">
      <c r="C3" s="23" t="s">
        <v>61</v>
      </c>
      <c r="D3" s="25">
        <v>1</v>
      </c>
      <c r="E3" s="25">
        <v>2</v>
      </c>
      <c r="F3" s="25">
        <v>3</v>
      </c>
      <c r="G3" s="25">
        <v>3.5</v>
      </c>
      <c r="H3" s="25">
        <v>4</v>
      </c>
      <c r="I3" s="25">
        <v>4.3</v>
      </c>
      <c r="J3" s="25">
        <v>4.5</v>
      </c>
      <c r="K3" s="25">
        <v>4.7</v>
      </c>
      <c r="L3" s="25">
        <v>4.8</v>
      </c>
      <c r="M3" s="25">
        <v>4.9000000000000004</v>
      </c>
      <c r="N3" s="25">
        <v>5</v>
      </c>
      <c r="O3" s="24"/>
      <c r="P3" s="24"/>
    </row>
    <row r="5" spans="1:16">
      <c r="A5" s="23" t="s">
        <v>59</v>
      </c>
    </row>
    <row r="6" spans="1:16">
      <c r="A6" s="1" t="s">
        <v>189</v>
      </c>
    </row>
    <row r="8" spans="1:16">
      <c r="A8" s="23" t="s">
        <v>61</v>
      </c>
    </row>
    <row r="9" spans="1:16">
      <c r="A9" s="1" t="s">
        <v>310</v>
      </c>
    </row>
    <row r="10" spans="1:16" ht="14.4">
      <c r="A10" s="49" t="s">
        <v>188</v>
      </c>
    </row>
    <row r="23" spans="3:8" ht="14.4" thickBot="1">
      <c r="C23" s="1" t="s">
        <v>537</v>
      </c>
      <c r="E23" s="120"/>
      <c r="F23" s="120"/>
      <c r="G23" s="120"/>
      <c r="H23" s="120"/>
    </row>
    <row r="24" spans="3:8">
      <c r="C24" s="118" t="s">
        <v>59</v>
      </c>
      <c r="D24" s="25">
        <v>2</v>
      </c>
      <c r="E24" s="25">
        <v>4</v>
      </c>
      <c r="F24" s="191">
        <v>3.62</v>
      </c>
      <c r="G24" s="191"/>
      <c r="H24" s="191"/>
    </row>
    <row r="25" spans="3:8" ht="14.4" thickBot="1">
      <c r="C25" s="119" t="s">
        <v>61</v>
      </c>
      <c r="D25" s="25">
        <v>2</v>
      </c>
      <c r="E25" s="25">
        <v>3</v>
      </c>
      <c r="F25" s="192">
        <f>IF(AND(F24&gt;=D24, F24&lt;=E24), ((F24-D24)/(E24-D24)*(E25-D25)+D25), "неверный диапазон")</f>
        <v>2.81</v>
      </c>
      <c r="G25" s="192"/>
      <c r="H25" s="192"/>
    </row>
  </sheetData>
  <mergeCells count="2">
    <mergeCell ref="F24:H24"/>
    <mergeCell ref="F25:H25"/>
  </mergeCells>
  <pageMargins left="0.7" right="0.7" top="0.75" bottom="0.75" header="0.3" footer="0.3"/>
  <pageSetup paperSize="9" orientation="portrait" horizontalDpi="180" verticalDpi="18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dimension ref="A1:P25"/>
  <sheetViews>
    <sheetView workbookViewId="0">
      <selection activeCell="F25" sqref="F25:H25"/>
    </sheetView>
  </sheetViews>
  <sheetFormatPr defaultRowHeight="13.8"/>
  <cols>
    <col min="1" max="1" width="78.88671875" style="1" customWidth="1"/>
    <col min="2" max="16384" width="8.88671875" style="1"/>
  </cols>
  <sheetData>
    <row r="1" spans="1:16" ht="30" customHeight="1">
      <c r="A1" s="30" t="s">
        <v>303</v>
      </c>
      <c r="C1" s="23" t="s">
        <v>60</v>
      </c>
    </row>
    <row r="2" spans="1:16" ht="30" customHeight="1">
      <c r="A2" s="30" t="s">
        <v>378</v>
      </c>
      <c r="C2" s="23" t="s">
        <v>59</v>
      </c>
      <c r="D2" s="25">
        <v>0</v>
      </c>
      <c r="E2" s="25">
        <v>4</v>
      </c>
      <c r="F2" s="25">
        <v>8</v>
      </c>
      <c r="G2" s="25">
        <v>12</v>
      </c>
      <c r="H2" s="25">
        <v>16</v>
      </c>
      <c r="I2" s="25">
        <v>20</v>
      </c>
      <c r="J2" s="25">
        <v>24</v>
      </c>
      <c r="K2" s="25">
        <v>28</v>
      </c>
      <c r="L2" s="25">
        <v>32</v>
      </c>
      <c r="M2" s="25">
        <v>36</v>
      </c>
      <c r="N2" s="25">
        <v>40</v>
      </c>
      <c r="O2" s="25"/>
    </row>
    <row r="3" spans="1:16">
      <c r="C3" s="23" t="s">
        <v>61</v>
      </c>
      <c r="D3" s="25">
        <v>0.8</v>
      </c>
      <c r="E3" s="25">
        <v>4</v>
      </c>
      <c r="F3" s="25">
        <v>7.2</v>
      </c>
      <c r="G3" s="25">
        <v>10.4</v>
      </c>
      <c r="H3" s="25">
        <v>12.5</v>
      </c>
      <c r="I3" s="25">
        <v>14.4</v>
      </c>
      <c r="J3" s="25">
        <v>16</v>
      </c>
      <c r="K3" s="25">
        <v>17.2</v>
      </c>
      <c r="L3" s="25">
        <v>18.5</v>
      </c>
      <c r="M3" s="25">
        <v>19.399999999999999</v>
      </c>
      <c r="N3" s="25">
        <v>20</v>
      </c>
      <c r="O3" s="24"/>
      <c r="P3" s="24"/>
    </row>
    <row r="5" spans="1:16">
      <c r="A5" s="23" t="s">
        <v>59</v>
      </c>
    </row>
    <row r="6" spans="1:16">
      <c r="A6" s="1" t="s">
        <v>308</v>
      </c>
    </row>
    <row r="8" spans="1:16">
      <c r="A8" s="23" t="s">
        <v>61</v>
      </c>
    </row>
    <row r="9" spans="1:16">
      <c r="A9" s="1" t="s">
        <v>311</v>
      </c>
    </row>
    <row r="10" spans="1:16" ht="14.4">
      <c r="A10" s="49" t="s">
        <v>188</v>
      </c>
    </row>
    <row r="23" spans="3:8" ht="14.4" thickBot="1">
      <c r="C23" s="1" t="s">
        <v>537</v>
      </c>
      <c r="E23" s="120"/>
      <c r="F23" s="120"/>
      <c r="G23" s="120"/>
      <c r="H23" s="120"/>
    </row>
    <row r="24" spans="3:8">
      <c r="C24" s="118" t="s">
        <v>59</v>
      </c>
      <c r="D24" s="25">
        <v>4</v>
      </c>
      <c r="E24" s="25">
        <v>8</v>
      </c>
      <c r="F24" s="191">
        <v>6.77</v>
      </c>
      <c r="G24" s="191"/>
      <c r="H24" s="191"/>
    </row>
    <row r="25" spans="3:8" ht="14.4" thickBot="1">
      <c r="C25" s="119" t="s">
        <v>61</v>
      </c>
      <c r="D25" s="25">
        <v>4</v>
      </c>
      <c r="E25" s="25">
        <v>7.2</v>
      </c>
      <c r="F25" s="192">
        <f>IF(AND(F24&gt;=D24, F24&lt;=E24), ((F24-D24)/(E24-D24)*(E25-D25)+D25), "неверный диапазон")</f>
        <v>6.2159999999999993</v>
      </c>
      <c r="G25" s="192"/>
      <c r="H25" s="192"/>
    </row>
  </sheetData>
  <mergeCells count="2">
    <mergeCell ref="F24:H24"/>
    <mergeCell ref="F25:H25"/>
  </mergeCells>
  <pageMargins left="0.7" right="0.7" top="0.75" bottom="0.75" header="0.3" footer="0.3"/>
  <pageSetup paperSize="9" orientation="portrait" horizontalDpi="180" verticalDpi="18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>
  <dimension ref="A1:P25"/>
  <sheetViews>
    <sheetView workbookViewId="0">
      <selection activeCell="F25" sqref="F25:H25"/>
    </sheetView>
  </sheetViews>
  <sheetFormatPr defaultRowHeight="13.8"/>
  <cols>
    <col min="1" max="1" width="78.88671875" style="1" customWidth="1"/>
    <col min="2" max="16384" width="8.88671875" style="1"/>
  </cols>
  <sheetData>
    <row r="1" spans="1:16" ht="30" customHeight="1">
      <c r="A1" s="30" t="s">
        <v>396</v>
      </c>
      <c r="C1" s="23" t="s">
        <v>60</v>
      </c>
    </row>
    <row r="2" spans="1:16" ht="30" customHeight="1">
      <c r="A2" s="30" t="s">
        <v>379</v>
      </c>
      <c r="C2" s="23" t="s">
        <v>59</v>
      </c>
      <c r="D2" s="25">
        <v>0</v>
      </c>
      <c r="E2" s="25">
        <v>0.2</v>
      </c>
      <c r="F2" s="25">
        <v>0.4</v>
      </c>
      <c r="G2" s="25">
        <v>0.6</v>
      </c>
      <c r="H2" s="25">
        <v>0.8</v>
      </c>
      <c r="I2" s="25">
        <v>1</v>
      </c>
      <c r="J2" s="25">
        <v>1.2</v>
      </c>
      <c r="K2" s="25">
        <v>1.4</v>
      </c>
      <c r="L2" s="25">
        <v>1.6</v>
      </c>
      <c r="M2" s="25">
        <v>1.8</v>
      </c>
      <c r="N2" s="25">
        <v>2</v>
      </c>
      <c r="O2" s="25"/>
    </row>
    <row r="3" spans="1:16">
      <c r="C3" s="23" t="s">
        <v>61</v>
      </c>
      <c r="D3" s="31">
        <v>0.4</v>
      </c>
      <c r="E3" s="31">
        <v>0.52</v>
      </c>
      <c r="F3" s="31">
        <v>0.64</v>
      </c>
      <c r="G3" s="31">
        <v>0.76</v>
      </c>
      <c r="H3" s="31">
        <v>0.88</v>
      </c>
      <c r="I3" s="31">
        <v>1</v>
      </c>
      <c r="J3" s="31">
        <v>1</v>
      </c>
      <c r="K3" s="31">
        <v>1</v>
      </c>
      <c r="L3" s="31">
        <v>1</v>
      </c>
      <c r="M3" s="31">
        <v>1</v>
      </c>
      <c r="N3" s="31">
        <v>1</v>
      </c>
      <c r="O3" s="24"/>
      <c r="P3" s="24"/>
    </row>
    <row r="5" spans="1:16">
      <c r="A5" s="23" t="s">
        <v>59</v>
      </c>
    </row>
    <row r="6" spans="1:16" ht="27.6">
      <c r="A6" s="55" t="s">
        <v>370</v>
      </c>
    </row>
    <row r="8" spans="1:16">
      <c r="A8" s="23" t="s">
        <v>61</v>
      </c>
    </row>
    <row r="9" spans="1:16">
      <c r="A9" s="1" t="s">
        <v>372</v>
      </c>
    </row>
    <row r="10" spans="1:16" ht="14.4">
      <c r="A10" s="49" t="s">
        <v>188</v>
      </c>
    </row>
    <row r="14" spans="1:16">
      <c r="A14" s="55"/>
    </row>
    <row r="23" spans="3:8" ht="14.4" thickBot="1">
      <c r="C23" s="1" t="s">
        <v>537</v>
      </c>
      <c r="E23" s="120"/>
      <c r="F23" s="120"/>
      <c r="G23" s="120"/>
      <c r="H23" s="120"/>
    </row>
    <row r="24" spans="3:8">
      <c r="C24" s="118" t="s">
        <v>59</v>
      </c>
      <c r="D24" s="25">
        <v>0.8</v>
      </c>
      <c r="E24" s="25">
        <v>1</v>
      </c>
      <c r="F24" s="191">
        <v>1</v>
      </c>
      <c r="G24" s="191"/>
      <c r="H24" s="191"/>
    </row>
    <row r="25" spans="3:8" ht="14.4" thickBot="1">
      <c r="C25" s="119" t="s">
        <v>61</v>
      </c>
      <c r="D25" s="31">
        <v>0.88</v>
      </c>
      <c r="E25" s="31">
        <v>1</v>
      </c>
      <c r="F25" s="192">
        <f>IF(AND(F24&gt;=D24, F24&lt;=E24), ((F24-D24)/(E24-D24)*(E25-D25)+D25), "неверный диапазон")</f>
        <v>1</v>
      </c>
      <c r="G25" s="192"/>
      <c r="H25" s="192"/>
    </row>
  </sheetData>
  <mergeCells count="2">
    <mergeCell ref="F24:H24"/>
    <mergeCell ref="F25:H25"/>
  </mergeCells>
  <pageMargins left="0.7" right="0.7" top="0.75" bottom="0.75" header="0.3" footer="0.3"/>
  <pageSetup paperSize="9" orientation="portrait" horizontalDpi="180" verticalDpi="18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>
  <dimension ref="A1:P25"/>
  <sheetViews>
    <sheetView workbookViewId="0">
      <selection activeCell="F25" sqref="F25:H25"/>
    </sheetView>
  </sheetViews>
  <sheetFormatPr defaultRowHeight="13.8"/>
  <cols>
    <col min="1" max="1" width="78.88671875" style="1" customWidth="1"/>
    <col min="2" max="16384" width="8.88671875" style="1"/>
  </cols>
  <sheetData>
    <row r="1" spans="1:16" ht="30" customHeight="1">
      <c r="A1" s="30" t="s">
        <v>373</v>
      </c>
      <c r="C1" s="23" t="s">
        <v>60</v>
      </c>
    </row>
    <row r="2" spans="1:16" ht="30" customHeight="1">
      <c r="A2" s="30" t="s">
        <v>380</v>
      </c>
      <c r="C2" s="23" t="s">
        <v>59</v>
      </c>
      <c r="D2" s="25">
        <v>0</v>
      </c>
      <c r="E2" s="25">
        <v>1</v>
      </c>
      <c r="F2" s="25">
        <v>2</v>
      </c>
      <c r="G2" s="25">
        <v>3</v>
      </c>
      <c r="H2" s="25">
        <v>4</v>
      </c>
      <c r="I2" s="25">
        <v>5</v>
      </c>
      <c r="J2" s="25">
        <v>6</v>
      </c>
      <c r="K2" s="25">
        <v>7</v>
      </c>
      <c r="L2" s="25">
        <v>8</v>
      </c>
      <c r="M2" s="25">
        <v>9</v>
      </c>
      <c r="N2" s="25">
        <v>10</v>
      </c>
      <c r="O2" s="25"/>
    </row>
    <row r="3" spans="1:16">
      <c r="C3" s="23" t="s">
        <v>61</v>
      </c>
      <c r="D3" s="25">
        <v>0</v>
      </c>
      <c r="E3" s="25">
        <v>1</v>
      </c>
      <c r="F3" s="25">
        <v>2</v>
      </c>
      <c r="G3" s="25">
        <v>3</v>
      </c>
      <c r="H3" s="25">
        <v>3.7</v>
      </c>
      <c r="I3" s="25">
        <v>4.2</v>
      </c>
      <c r="J3" s="25">
        <v>4.5</v>
      </c>
      <c r="K3" s="25">
        <v>4.7</v>
      </c>
      <c r="L3" s="25">
        <v>4.8</v>
      </c>
      <c r="M3" s="25">
        <v>4.9000000000000004</v>
      </c>
      <c r="N3" s="25">
        <v>5</v>
      </c>
      <c r="O3" s="24"/>
      <c r="P3" s="24"/>
    </row>
    <row r="5" spans="1:16">
      <c r="A5" s="23" t="s">
        <v>59</v>
      </c>
    </row>
    <row r="6" spans="1:16">
      <c r="A6" s="1" t="s">
        <v>374</v>
      </c>
    </row>
    <row r="8" spans="1:16">
      <c r="A8" s="23" t="s">
        <v>61</v>
      </c>
    </row>
    <row r="9" spans="1:16" ht="27.6">
      <c r="A9" s="55" t="s">
        <v>375</v>
      </c>
    </row>
    <row r="10" spans="1:16" ht="14.4">
      <c r="A10" s="49" t="s">
        <v>188</v>
      </c>
    </row>
    <row r="17" spans="1:8">
      <c r="A17" s="55"/>
    </row>
    <row r="23" spans="1:8" ht="14.4" thickBot="1">
      <c r="C23" s="1" t="s">
        <v>537</v>
      </c>
      <c r="E23" s="120"/>
      <c r="F23" s="120"/>
      <c r="G23" s="120"/>
      <c r="H23" s="120"/>
    </row>
    <row r="24" spans="1:8">
      <c r="C24" s="118" t="s">
        <v>59</v>
      </c>
      <c r="D24" s="25">
        <v>0</v>
      </c>
      <c r="E24" s="25">
        <v>1</v>
      </c>
      <c r="F24" s="191">
        <v>0.46200000000000002</v>
      </c>
      <c r="G24" s="191"/>
      <c r="H24" s="191"/>
    </row>
    <row r="25" spans="1:8" ht="14.4" thickBot="1">
      <c r="C25" s="119" t="s">
        <v>61</v>
      </c>
      <c r="D25" s="25">
        <v>0</v>
      </c>
      <c r="E25" s="25">
        <v>1</v>
      </c>
      <c r="F25" s="192">
        <f>IF(AND(F24&gt;=D24, F24&lt;=E24), ((F24-D24)/(E24-D24)*(E25-D25)+D25), "неверный диапазон")</f>
        <v>0.46200000000000002</v>
      </c>
      <c r="G25" s="192"/>
      <c r="H25" s="192"/>
    </row>
  </sheetData>
  <mergeCells count="2">
    <mergeCell ref="F24:H24"/>
    <mergeCell ref="F25:H25"/>
  </mergeCells>
  <pageMargins left="0.7" right="0.7" top="0.75" bottom="0.75" header="0.3" footer="0.3"/>
  <pageSetup paperSize="9" orientation="portrait" horizontalDpi="180" verticalDpi="18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>
  <dimension ref="A1:P25"/>
  <sheetViews>
    <sheetView workbookViewId="0">
      <selection activeCell="F25" sqref="F25:H25"/>
    </sheetView>
  </sheetViews>
  <sheetFormatPr defaultRowHeight="13.8"/>
  <cols>
    <col min="1" max="1" width="78.88671875" style="1" customWidth="1"/>
    <col min="2" max="16384" width="8.88671875" style="1"/>
  </cols>
  <sheetData>
    <row r="1" spans="1:16" ht="45" customHeight="1">
      <c r="A1" s="30" t="s">
        <v>387</v>
      </c>
      <c r="C1" s="23" t="s">
        <v>60</v>
      </c>
    </row>
    <row r="2" spans="1:16" ht="45" customHeight="1">
      <c r="A2" s="30" t="s">
        <v>384</v>
      </c>
      <c r="C2" s="23" t="s">
        <v>59</v>
      </c>
      <c r="D2" s="25">
        <v>0</v>
      </c>
      <c r="E2" s="25">
        <v>0.1</v>
      </c>
      <c r="F2" s="25">
        <v>0.2</v>
      </c>
      <c r="G2" s="25">
        <v>0.3</v>
      </c>
      <c r="H2" s="25">
        <v>0.4</v>
      </c>
      <c r="I2" s="25">
        <v>0.5</v>
      </c>
      <c r="J2" s="25">
        <v>0.6</v>
      </c>
      <c r="K2" s="25">
        <v>0.7</v>
      </c>
      <c r="L2" s="25">
        <v>0.8</v>
      </c>
      <c r="M2" s="25">
        <v>0.9</v>
      </c>
      <c r="N2" s="25">
        <v>1</v>
      </c>
      <c r="O2" s="25"/>
    </row>
    <row r="3" spans="1:16">
      <c r="C3" s="23" t="s">
        <v>61</v>
      </c>
      <c r="D3" s="25">
        <v>0</v>
      </c>
      <c r="E3" s="25">
        <v>4</v>
      </c>
      <c r="F3" s="25">
        <v>5.5</v>
      </c>
      <c r="G3" s="25">
        <v>7</v>
      </c>
      <c r="H3" s="25">
        <v>7.8</v>
      </c>
      <c r="I3" s="25">
        <v>8.3000000000000007</v>
      </c>
      <c r="J3" s="25">
        <v>9</v>
      </c>
      <c r="K3" s="25">
        <v>9.3000000000000007</v>
      </c>
      <c r="L3" s="25">
        <v>9.5</v>
      </c>
      <c r="M3" s="25">
        <v>9.6999999999999993</v>
      </c>
      <c r="N3" s="25">
        <v>10</v>
      </c>
      <c r="O3" s="24"/>
      <c r="P3" s="24"/>
    </row>
    <row r="5" spans="1:16">
      <c r="A5" s="23" t="s">
        <v>59</v>
      </c>
    </row>
    <row r="6" spans="1:16" ht="27.6">
      <c r="A6" s="55" t="s">
        <v>388</v>
      </c>
    </row>
    <row r="8" spans="1:16">
      <c r="A8" s="23" t="s">
        <v>61</v>
      </c>
    </row>
    <row r="9" spans="1:16">
      <c r="A9" s="1" t="s">
        <v>385</v>
      </c>
    </row>
    <row r="10" spans="1:16" ht="14.4">
      <c r="A10" s="49"/>
    </row>
    <row r="14" spans="1:16">
      <c r="A14" s="55"/>
    </row>
    <row r="23" spans="3:8" ht="14.4" thickBot="1">
      <c r="C23" s="1" t="s">
        <v>537</v>
      </c>
      <c r="E23" s="120"/>
      <c r="F23" s="120"/>
      <c r="G23" s="120"/>
      <c r="H23" s="120"/>
    </row>
    <row r="24" spans="3:8">
      <c r="C24" s="118" t="s">
        <v>59</v>
      </c>
      <c r="D24" s="25">
        <v>0</v>
      </c>
      <c r="E24" s="25">
        <v>0.1</v>
      </c>
      <c r="F24" s="191">
        <v>9.5000000000000001E-2</v>
      </c>
      <c r="G24" s="191"/>
      <c r="H24" s="191"/>
    </row>
    <row r="25" spans="3:8" ht="14.4" thickBot="1">
      <c r="C25" s="119" t="s">
        <v>61</v>
      </c>
      <c r="D25" s="25">
        <v>0</v>
      </c>
      <c r="E25" s="25">
        <v>4</v>
      </c>
      <c r="F25" s="192">
        <f>IF(AND(F24&gt;=D24, F24&lt;=E24), ((F24-D24)/(E24-D24)*(E25-D25)+D25), "неверный диапазон")</f>
        <v>3.8</v>
      </c>
      <c r="G25" s="192"/>
      <c r="H25" s="192"/>
    </row>
  </sheetData>
  <mergeCells count="2">
    <mergeCell ref="F24:H24"/>
    <mergeCell ref="F25:H25"/>
  </mergeCells>
  <pageMargins left="0.7" right="0.7" top="0.75" bottom="0.75" header="0.3" footer="0.3"/>
  <pageSetup paperSize="9" orientation="portrait" horizontalDpi="180" verticalDpi="18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>
  <dimension ref="A1:P26"/>
  <sheetViews>
    <sheetView workbookViewId="0">
      <selection activeCell="F26" sqref="F26:H26"/>
    </sheetView>
  </sheetViews>
  <sheetFormatPr defaultRowHeight="13.8"/>
  <cols>
    <col min="1" max="1" width="78.88671875" style="1" customWidth="1"/>
    <col min="2" max="16384" width="8.88671875" style="1"/>
  </cols>
  <sheetData>
    <row r="1" spans="1:16" ht="30" customHeight="1">
      <c r="A1" s="30" t="s">
        <v>389</v>
      </c>
      <c r="C1" s="23" t="s">
        <v>60</v>
      </c>
    </row>
    <row r="2" spans="1:16" ht="30" customHeight="1">
      <c r="A2" s="30" t="s">
        <v>390</v>
      </c>
      <c r="C2" s="23" t="s">
        <v>59</v>
      </c>
      <c r="D2" s="25">
        <v>0</v>
      </c>
      <c r="E2" s="25">
        <v>0.1</v>
      </c>
      <c r="F2" s="25">
        <v>0.2</v>
      </c>
      <c r="G2" s="25">
        <v>0.3</v>
      </c>
      <c r="H2" s="25">
        <v>0.4</v>
      </c>
      <c r="I2" s="25">
        <v>0.5</v>
      </c>
      <c r="J2" s="25">
        <v>0.6</v>
      </c>
      <c r="K2" s="25">
        <v>0.7</v>
      </c>
      <c r="L2" s="25">
        <v>0.8</v>
      </c>
      <c r="M2" s="25">
        <v>0.9</v>
      </c>
      <c r="N2" s="25">
        <v>1</v>
      </c>
      <c r="O2" s="25"/>
    </row>
    <row r="3" spans="1:16">
      <c r="C3" s="23" t="s">
        <v>61</v>
      </c>
      <c r="D3" s="25">
        <v>0.03</v>
      </c>
      <c r="E3" s="25">
        <v>0.2</v>
      </c>
      <c r="F3" s="25">
        <v>2</v>
      </c>
      <c r="G3" s="25">
        <v>3.5</v>
      </c>
      <c r="H3" s="25">
        <v>4.5</v>
      </c>
      <c r="I3" s="25">
        <v>5</v>
      </c>
      <c r="J3" s="25">
        <v>4.5</v>
      </c>
      <c r="K3" s="25">
        <v>3.5</v>
      </c>
      <c r="L3" s="25">
        <v>2</v>
      </c>
      <c r="M3" s="25">
        <v>0.2</v>
      </c>
      <c r="N3" s="25">
        <v>0.01</v>
      </c>
      <c r="O3" s="24"/>
      <c r="P3" s="24"/>
    </row>
    <row r="5" spans="1:16">
      <c r="A5" s="23" t="s">
        <v>59</v>
      </c>
    </row>
    <row r="6" spans="1:16">
      <c r="A6" s="1" t="s">
        <v>128</v>
      </c>
    </row>
    <row r="7" spans="1:16" ht="14.4">
      <c r="A7" s="65" t="s">
        <v>381</v>
      </c>
    </row>
    <row r="9" spans="1:16">
      <c r="A9" s="23" t="s">
        <v>61</v>
      </c>
    </row>
    <row r="10" spans="1:16">
      <c r="A10" s="1" t="s">
        <v>382</v>
      </c>
    </row>
    <row r="11" spans="1:16" ht="14.4">
      <c r="A11" s="49"/>
    </row>
    <row r="15" spans="1:16">
      <c r="A15" s="55"/>
    </row>
    <row r="24" spans="3:8" ht="14.4" thickBot="1">
      <c r="C24" s="1" t="s">
        <v>537</v>
      </c>
      <c r="E24" s="120"/>
      <c r="F24" s="120"/>
      <c r="G24" s="120"/>
      <c r="H24" s="120"/>
    </row>
    <row r="25" spans="3:8">
      <c r="C25" s="118" t="s">
        <v>59</v>
      </c>
      <c r="D25" s="25">
        <v>0.6</v>
      </c>
      <c r="E25" s="25">
        <v>0.7</v>
      </c>
      <c r="F25" s="191">
        <v>0.69</v>
      </c>
      <c r="G25" s="191"/>
      <c r="H25" s="191"/>
    </row>
    <row r="26" spans="3:8" ht="14.4" thickBot="1">
      <c r="C26" s="119" t="s">
        <v>61</v>
      </c>
      <c r="D26" s="25">
        <v>4.5</v>
      </c>
      <c r="E26" s="25">
        <v>3.5</v>
      </c>
      <c r="F26" s="192">
        <f>IF(AND(F25&gt;=D25, F25&lt;=E25), ((F25-D25)/(E25-D25)*(E26-D26)+D26), "неверный диапазон")</f>
        <v>3.6</v>
      </c>
      <c r="G26" s="192"/>
      <c r="H26" s="192"/>
    </row>
  </sheetData>
  <mergeCells count="2">
    <mergeCell ref="F25:H25"/>
    <mergeCell ref="F26:H26"/>
  </mergeCells>
  <pageMargins left="0.7" right="0.7" top="0.75" bottom="0.75" header="0.3" footer="0.3"/>
  <pageSetup paperSize="9" orientation="portrait" horizontalDpi="180" verticalDpi="18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>
  <dimension ref="A1:P25"/>
  <sheetViews>
    <sheetView workbookViewId="0">
      <selection activeCell="E2" sqref="E2:F3"/>
    </sheetView>
  </sheetViews>
  <sheetFormatPr defaultRowHeight="13.8"/>
  <cols>
    <col min="1" max="1" width="78.88671875" style="1" customWidth="1"/>
    <col min="2" max="16384" width="8.88671875" style="1"/>
  </cols>
  <sheetData>
    <row r="1" spans="1:16" ht="30" customHeight="1">
      <c r="A1" s="30" t="s">
        <v>451</v>
      </c>
      <c r="C1" s="23" t="s">
        <v>60</v>
      </c>
    </row>
    <row r="2" spans="1:16" ht="30" customHeight="1">
      <c r="A2" s="30" t="s">
        <v>452</v>
      </c>
      <c r="C2" s="23" t="s">
        <v>59</v>
      </c>
      <c r="D2" s="25">
        <v>0</v>
      </c>
      <c r="E2" s="25">
        <v>0.5</v>
      </c>
      <c r="F2" s="25">
        <v>1</v>
      </c>
      <c r="G2" s="25">
        <v>1.5</v>
      </c>
      <c r="H2" s="25">
        <v>2</v>
      </c>
      <c r="I2" s="25">
        <v>2.5</v>
      </c>
      <c r="J2" s="25">
        <v>3</v>
      </c>
      <c r="K2" s="25">
        <v>3.5</v>
      </c>
      <c r="L2" s="25">
        <v>4</v>
      </c>
      <c r="M2" s="25">
        <v>4.5</v>
      </c>
      <c r="N2" s="25">
        <v>5</v>
      </c>
      <c r="O2" s="25"/>
    </row>
    <row r="3" spans="1:16">
      <c r="C3" s="23" t="s">
        <v>61</v>
      </c>
      <c r="D3" s="25">
        <v>1</v>
      </c>
      <c r="E3" s="25">
        <v>1</v>
      </c>
      <c r="F3" s="25">
        <v>1</v>
      </c>
      <c r="G3" s="25">
        <v>1</v>
      </c>
      <c r="H3" s="25">
        <v>1</v>
      </c>
      <c r="I3" s="25">
        <v>1</v>
      </c>
      <c r="J3" s="25">
        <v>1.2</v>
      </c>
      <c r="K3" s="25">
        <v>1.4</v>
      </c>
      <c r="L3" s="25">
        <v>1.6</v>
      </c>
      <c r="M3" s="25">
        <v>1.8</v>
      </c>
      <c r="N3" s="25">
        <v>2</v>
      </c>
      <c r="O3" s="24"/>
      <c r="P3" s="24"/>
    </row>
    <row r="5" spans="1:16">
      <c r="A5" s="23" t="s">
        <v>59</v>
      </c>
    </row>
    <row r="6" spans="1:16">
      <c r="A6" s="1" t="s">
        <v>453</v>
      </c>
    </row>
    <row r="8" spans="1:16">
      <c r="A8" s="23" t="s">
        <v>61</v>
      </c>
    </row>
    <row r="9" spans="1:16">
      <c r="A9" s="1" t="s">
        <v>455</v>
      </c>
    </row>
    <row r="10" spans="1:16" ht="14.4">
      <c r="A10" s="49" t="s">
        <v>188</v>
      </c>
    </row>
    <row r="13" spans="1:16">
      <c r="A13" s="55"/>
    </row>
    <row r="23" spans="3:8" ht="14.4" thickBot="1">
      <c r="C23" s="1" t="s">
        <v>537</v>
      </c>
      <c r="E23" s="120"/>
      <c r="F23" s="120"/>
      <c r="G23" s="120"/>
      <c r="H23" s="120"/>
    </row>
    <row r="24" spans="3:8">
      <c r="C24" s="118" t="s">
        <v>59</v>
      </c>
      <c r="D24" s="25">
        <v>0</v>
      </c>
      <c r="E24" s="25">
        <v>0.5</v>
      </c>
      <c r="F24" s="191">
        <v>0.5</v>
      </c>
      <c r="G24" s="191"/>
      <c r="H24" s="191"/>
    </row>
    <row r="25" spans="3:8" ht="14.4" thickBot="1">
      <c r="C25" s="119" t="s">
        <v>61</v>
      </c>
      <c r="D25" s="25">
        <v>1</v>
      </c>
      <c r="E25" s="25">
        <v>1</v>
      </c>
      <c r="F25" s="192">
        <f>IF(AND(F24&gt;=D24, F24&lt;=E24), ((F24-D24)/(E24-D24)*(E25-D25)+D25), "неверный диапазон")</f>
        <v>1</v>
      </c>
      <c r="G25" s="192"/>
      <c r="H25" s="192"/>
    </row>
  </sheetData>
  <mergeCells count="2">
    <mergeCell ref="F24:H24"/>
    <mergeCell ref="F25:H25"/>
  </mergeCells>
  <pageMargins left="0.7" right="0.7" top="0.75" bottom="0.75" header="0.3" footer="0.3"/>
  <pageSetup paperSize="9" orientation="portrait" horizontalDpi="180" verticalDpi="18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>
  <dimension ref="A1:P25"/>
  <sheetViews>
    <sheetView workbookViewId="0">
      <selection activeCell="F25" sqref="F25:H25"/>
    </sheetView>
  </sheetViews>
  <sheetFormatPr defaultRowHeight="13.8"/>
  <cols>
    <col min="1" max="1" width="81.21875" style="1" customWidth="1"/>
    <col min="2" max="16384" width="8.88671875" style="1"/>
  </cols>
  <sheetData>
    <row r="1" spans="1:16" ht="30" customHeight="1">
      <c r="A1" s="30" t="s">
        <v>449</v>
      </c>
      <c r="C1" s="23" t="s">
        <v>60</v>
      </c>
    </row>
    <row r="2" spans="1:16" ht="30" customHeight="1">
      <c r="A2" s="30" t="s">
        <v>454</v>
      </c>
      <c r="C2" s="23" t="s">
        <v>59</v>
      </c>
      <c r="D2" s="25">
        <v>0</v>
      </c>
      <c r="E2" s="25">
        <v>0.5</v>
      </c>
      <c r="F2" s="25">
        <v>1</v>
      </c>
      <c r="G2" s="25">
        <v>1.5</v>
      </c>
      <c r="H2" s="25">
        <v>2</v>
      </c>
      <c r="I2" s="25">
        <v>2.5</v>
      </c>
      <c r="J2" s="25">
        <v>3</v>
      </c>
      <c r="K2" s="25">
        <v>3.5</v>
      </c>
      <c r="L2" s="25">
        <v>4</v>
      </c>
      <c r="M2" s="25">
        <v>4.5</v>
      </c>
      <c r="N2" s="25">
        <v>5</v>
      </c>
      <c r="O2" s="25"/>
    </row>
    <row r="3" spans="1:16">
      <c r="C3" s="23" t="s">
        <v>61</v>
      </c>
      <c r="D3" s="67">
        <v>10</v>
      </c>
      <c r="E3" s="67">
        <v>10</v>
      </c>
      <c r="F3" s="67">
        <v>10</v>
      </c>
      <c r="G3" s="67">
        <v>12</v>
      </c>
      <c r="H3" s="67">
        <v>14</v>
      </c>
      <c r="I3" s="67">
        <v>15</v>
      </c>
      <c r="J3" s="67">
        <v>16</v>
      </c>
      <c r="K3" s="67">
        <v>17</v>
      </c>
      <c r="L3" s="67">
        <v>18</v>
      </c>
      <c r="M3" s="67">
        <v>19</v>
      </c>
      <c r="N3" s="67">
        <v>20</v>
      </c>
      <c r="O3" s="24"/>
      <c r="P3" s="24"/>
    </row>
    <row r="5" spans="1:16">
      <c r="A5" s="23" t="s">
        <v>59</v>
      </c>
    </row>
    <row r="6" spans="1:16">
      <c r="A6" s="1" t="s">
        <v>453</v>
      </c>
    </row>
    <row r="8" spans="1:16">
      <c r="A8" s="23" t="s">
        <v>61</v>
      </c>
    </row>
    <row r="9" spans="1:16">
      <c r="A9" s="1" t="s">
        <v>450</v>
      </c>
    </row>
    <row r="10" spans="1:16" ht="14.4">
      <c r="A10" s="49"/>
    </row>
    <row r="13" spans="1:16">
      <c r="A13" s="55"/>
    </row>
    <row r="23" spans="3:8" ht="14.4" thickBot="1">
      <c r="C23" s="1" t="s">
        <v>537</v>
      </c>
      <c r="E23" s="120"/>
      <c r="F23" s="120"/>
      <c r="G23" s="120"/>
      <c r="H23" s="120"/>
    </row>
    <row r="24" spans="3:8">
      <c r="C24" s="118" t="s">
        <v>59</v>
      </c>
      <c r="D24" s="25">
        <v>0.5</v>
      </c>
      <c r="E24" s="25">
        <v>1</v>
      </c>
      <c r="F24" s="191">
        <v>0.77</v>
      </c>
      <c r="G24" s="191"/>
      <c r="H24" s="191"/>
    </row>
    <row r="25" spans="3:8" ht="14.4" thickBot="1">
      <c r="C25" s="119" t="s">
        <v>61</v>
      </c>
      <c r="D25" s="67">
        <v>10</v>
      </c>
      <c r="E25" s="67">
        <v>10</v>
      </c>
      <c r="F25" s="192">
        <f>IF(AND(F24&gt;=D24, F24&lt;=E24), ((F24-D24)/(E24-D24)*(E25-D25)+D25), "неверный диапазон")</f>
        <v>10</v>
      </c>
      <c r="G25" s="192"/>
      <c r="H25" s="192"/>
    </row>
  </sheetData>
  <mergeCells count="2">
    <mergeCell ref="F24:H24"/>
    <mergeCell ref="F25:H25"/>
  </mergeCells>
  <pageMargins left="0.7" right="0.7" top="0.75" bottom="0.75" header="0.3" footer="0.3"/>
  <pageSetup paperSize="9" orientation="portrait" horizontalDpi="180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22</vt:i4>
      </vt:variant>
    </vt:vector>
  </HeadingPairs>
  <TitlesOfParts>
    <vt:vector size="22" baseType="lpstr">
      <vt:lpstr>Население</vt:lpstr>
      <vt:lpstr>Энергетика</vt:lpstr>
      <vt:lpstr>Промышленность</vt:lpstr>
      <vt:lpstr>Сельхоз и ОС</vt:lpstr>
      <vt:lpstr>Торговля и финансы</vt:lpstr>
      <vt:lpstr>Сводный лист решений</vt:lpstr>
      <vt:lpstr>Лист состояния страны</vt:lpstr>
      <vt:lpstr>График P-1</vt:lpstr>
      <vt:lpstr>График P-2</vt:lpstr>
      <vt:lpstr>График P-3</vt:lpstr>
      <vt:lpstr>График P-4</vt:lpstr>
      <vt:lpstr>График E-1</vt:lpstr>
      <vt:lpstr>График E-2</vt:lpstr>
      <vt:lpstr>График G-1</vt:lpstr>
      <vt:lpstr>График G-2</vt:lpstr>
      <vt:lpstr>График G-3</vt:lpstr>
      <vt:lpstr>График F-1</vt:lpstr>
      <vt:lpstr>График F-2</vt:lpstr>
      <vt:lpstr>График F-3</vt:lpstr>
      <vt:lpstr>График F-4</vt:lpstr>
      <vt:lpstr>График TF-1</vt:lpstr>
      <vt:lpstr>График TF-2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2026-05-13T18:43:48Z</dcterms:modified>
</cp:coreProperties>
</file>